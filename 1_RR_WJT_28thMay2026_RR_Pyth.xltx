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/>
  <workbookPr filterPrivacy="1" defaultThemeVersion="124226"/>
  <xr:revisionPtr revIDLastSave="0" documentId="8_{00B145C9-91E7-4825-82A9-D30443EBB0A7}" xr6:coauthVersionLast="47" xr6:coauthVersionMax="47" xr10:uidLastSave="{00000000-0000-0000-0000-000000000000}"/>
  <bookViews>
    <workbookView xWindow="-110" yWindow="-110" windowWidth="19420" windowHeight="10300" tabRatio="703" activeTab="2" xr2:uid="{00000000-000D-0000-FFFF-FFFF00000000}"/>
  </bookViews>
  <sheets>
    <sheet name="Qtn_RMT_table2" sheetId="9" r:id="rId1"/>
    <sheet name="Qtn_table1" sheetId="8" r:id="rId2"/>
    <sheet name="WORK OUT" sheetId="1" r:id="rId3"/>
    <sheet name="HR       " sheetId="2" state="hidden" r:id="rId4"/>
    <sheet name="Fallow up" sheetId="11" r:id="rId5"/>
    <sheet name="Job Proforma" sheetId="3" r:id="rId6"/>
    <sheet name="R.mt Proforma" sheetId="15" r:id="rId7"/>
    <sheet name="Tally format Bill" sheetId="14" r:id="rId8"/>
  </sheets>
  <externalReferences>
    <externalReference r:id="rId9"/>
  </externalReferences>
  <definedNames>
    <definedName name="df">'WORK OUT'!$N$9</definedName>
    <definedName name="Edge_Quality_KMT">'WORK OUT'!$M$9</definedName>
    <definedName name="KMT_Material_selected">'WORK OUT'!$M$9</definedName>
    <definedName name="KMT_Materl_selectd" localSheetId="2">'WORK OUT'!$N$9</definedName>
    <definedName name="KMT_Materl_selected">'WORK OUT'!$J$123</definedName>
    <definedName name="KMT_matr_selection" localSheetId="2">'WORK OUT'!$N$9</definedName>
    <definedName name="KMT_matrl_selection" localSheetId="2">'WORK OUT'!$N$9</definedName>
    <definedName name="kmtmatlselection">'[1]Work out1'!$D$71:$D$83</definedName>
    <definedName name="OLE_LINK1" localSheetId="0">Qtn_RMT_table2!#REF!</definedName>
    <definedName name="OLE_LINK1" localSheetId="1">Qtn_table1!$B$20</definedName>
    <definedName name="OLE_LINK2" localSheetId="0">Qtn_RMT_table2!$D$2</definedName>
    <definedName name="OLE_LINK2" localSheetId="1">Qtn_table1!$D$4</definedName>
    <definedName name="_xlnm.Print_Area" localSheetId="5">'Job Proforma'!$C$2:$K$41</definedName>
    <definedName name="_xlnm.Print_Area" localSheetId="0">Qtn_RMT_table2!$B$2:$J$61</definedName>
    <definedName name="_xlnm.Print_Area" localSheetId="1">Qtn_table1!$B$2:$I$56</definedName>
    <definedName name="_xlnm.Print_Area" localSheetId="6">'R.mt Proforma'!$C$2:$L$42</definedName>
    <definedName name="_xlnm.Print_Area" localSheetId="7">'Tally format Bill'!$B$1:$I$45</definedName>
    <definedName name="_xlnm.Print_Area" localSheetId="2">'WORK OUT'!#REF!</definedName>
    <definedName name="_xlnm.Print_Titles" localSheetId="5">'Job Proforma'!$13:$13</definedName>
    <definedName name="_xlnm.Print_Titles" localSheetId="0">Qtn_RMT_table2!$22:$22</definedName>
    <definedName name="_xlnm.Print_Titles" localSheetId="1">Qtn_table1!$20:$20</definedName>
    <definedName name="_xlnm.Print_Titles" localSheetId="6">'R.mt Proforma'!$13:$13</definedName>
    <definedName name="_xlnm.Print_Titles" localSheetId="7">'Tally format Bill'!$15:$16</definedName>
  </definedNames>
  <calcPr calcId="191029"/>
</workbook>
</file>

<file path=xl/calcChain.xml><?xml version="1.0" encoding="utf-8"?>
<calcChain xmlns="http://schemas.openxmlformats.org/spreadsheetml/2006/main">
  <c r="L23" i="8" l="1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H17" i="14"/>
  <c r="G3" i="11"/>
  <c r="F3" i="11"/>
  <c r="D3" i="11"/>
  <c r="C23" i="8"/>
  <c r="D16" i="3" s="1"/>
  <c r="M18" i="14" s="1"/>
  <c r="D23" i="8"/>
  <c r="E16" i="3" s="1"/>
  <c r="N18" i="14" s="1"/>
  <c r="E23" i="8"/>
  <c r="F16" i="3" s="1"/>
  <c r="O18" i="14" s="1"/>
  <c r="H23" i="8"/>
  <c r="J16" i="3" s="1"/>
  <c r="S18" i="14" s="1"/>
  <c r="C24" i="8"/>
  <c r="D17" i="3" s="1"/>
  <c r="M19" i="14" s="1"/>
  <c r="D24" i="8"/>
  <c r="E17" i="3" s="1"/>
  <c r="N19" i="14" s="1"/>
  <c r="E24" i="8"/>
  <c r="H24" i="8"/>
  <c r="J17" i="3" s="1"/>
  <c r="S19" i="14" s="1"/>
  <c r="C25" i="8"/>
  <c r="D18" i="3" s="1"/>
  <c r="M20" i="14" s="1"/>
  <c r="D25" i="8"/>
  <c r="E18" i="3" s="1"/>
  <c r="N20" i="14" s="1"/>
  <c r="E25" i="8"/>
  <c r="F18" i="3" s="1"/>
  <c r="O20" i="14" s="1"/>
  <c r="H25" i="8"/>
  <c r="J18" i="3" s="1"/>
  <c r="S20" i="14" s="1"/>
  <c r="C26" i="8"/>
  <c r="D19" i="3" s="1"/>
  <c r="M21" i="14" s="1"/>
  <c r="D26" i="8"/>
  <c r="E19" i="3" s="1"/>
  <c r="N21" i="14" s="1"/>
  <c r="E26" i="8"/>
  <c r="F19" i="3" s="1"/>
  <c r="O21" i="14" s="1"/>
  <c r="H26" i="8"/>
  <c r="J19" i="3" s="1"/>
  <c r="S21" i="14" s="1"/>
  <c r="C27" i="8"/>
  <c r="D20" i="3" s="1"/>
  <c r="M22" i="14" s="1"/>
  <c r="D27" i="8"/>
  <c r="E20" i="3" s="1"/>
  <c r="N22" i="14" s="1"/>
  <c r="E27" i="8"/>
  <c r="F20" i="3" s="1"/>
  <c r="O22" i="14" s="1"/>
  <c r="H27" i="8"/>
  <c r="J20" i="3" s="1"/>
  <c r="S22" i="14" s="1"/>
  <c r="C28" i="8"/>
  <c r="D21" i="3" s="1"/>
  <c r="M23" i="14" s="1"/>
  <c r="D28" i="8"/>
  <c r="E21" i="3" s="1"/>
  <c r="N23" i="14" s="1"/>
  <c r="E28" i="8"/>
  <c r="F21" i="3" s="1"/>
  <c r="O23" i="14" s="1"/>
  <c r="H28" i="8"/>
  <c r="J21" i="3" s="1"/>
  <c r="S23" i="14" s="1"/>
  <c r="C29" i="8"/>
  <c r="D22" i="3" s="1"/>
  <c r="M24" i="14" s="1"/>
  <c r="D29" i="8"/>
  <c r="E22" i="3" s="1"/>
  <c r="N24" i="14" s="1"/>
  <c r="E29" i="8"/>
  <c r="F22" i="3" s="1"/>
  <c r="O24" i="14" s="1"/>
  <c r="H29" i="8"/>
  <c r="J22" i="3" s="1"/>
  <c r="S24" i="14" s="1"/>
  <c r="C30" i="8"/>
  <c r="D23" i="3" s="1"/>
  <c r="M25" i="14" s="1"/>
  <c r="D30" i="8"/>
  <c r="E23" i="3" s="1"/>
  <c r="N25" i="14" s="1"/>
  <c r="E30" i="8"/>
  <c r="F23" i="3" s="1"/>
  <c r="O25" i="14" s="1"/>
  <c r="H30" i="8"/>
  <c r="J23" i="3" s="1"/>
  <c r="S25" i="14" s="1"/>
  <c r="C31" i="8"/>
  <c r="D24" i="3" s="1"/>
  <c r="M26" i="14" s="1"/>
  <c r="D31" i="8"/>
  <c r="E24" i="3" s="1"/>
  <c r="N26" i="14" s="1"/>
  <c r="E31" i="8"/>
  <c r="F24" i="3" s="1"/>
  <c r="O26" i="14" s="1"/>
  <c r="H31" i="8"/>
  <c r="J24" i="3" s="1"/>
  <c r="S26" i="14" s="1"/>
  <c r="C32" i="8"/>
  <c r="D25" i="3" s="1"/>
  <c r="M27" i="14" s="1"/>
  <c r="D32" i="8"/>
  <c r="E25" i="3" s="1"/>
  <c r="N27" i="14" s="1"/>
  <c r="E32" i="8"/>
  <c r="F25" i="3" s="1"/>
  <c r="O27" i="14" s="1"/>
  <c r="H32" i="8"/>
  <c r="J25" i="3" s="1"/>
  <c r="S27" i="14" s="1"/>
  <c r="C33" i="8"/>
  <c r="D26" i="3" s="1"/>
  <c r="M28" i="14" s="1"/>
  <c r="D33" i="8"/>
  <c r="E26" i="3" s="1"/>
  <c r="N28" i="14" s="1"/>
  <c r="E33" i="8"/>
  <c r="F26" i="3" s="1"/>
  <c r="O28" i="14" s="1"/>
  <c r="H33" i="8"/>
  <c r="J26" i="3" s="1"/>
  <c r="S28" i="14" s="1"/>
  <c r="C34" i="8"/>
  <c r="D27" i="3" s="1"/>
  <c r="M29" i="14" s="1"/>
  <c r="D34" i="8"/>
  <c r="E27" i="3" s="1"/>
  <c r="N29" i="14" s="1"/>
  <c r="E34" i="8"/>
  <c r="F27" i="3" s="1"/>
  <c r="O29" i="14" s="1"/>
  <c r="H34" i="8"/>
  <c r="J27" i="3" s="1"/>
  <c r="S29" i="14" s="1"/>
  <c r="C35" i="8"/>
  <c r="D28" i="3" s="1"/>
  <c r="D35" i="8"/>
  <c r="E28" i="3" s="1"/>
  <c r="E35" i="8"/>
  <c r="F28" i="3" s="1"/>
  <c r="H35" i="8"/>
  <c r="J28" i="3" s="1"/>
  <c r="C36" i="8"/>
  <c r="D36" i="8"/>
  <c r="E29" i="3" s="1"/>
  <c r="N30" i="14" s="1"/>
  <c r="E36" i="8"/>
  <c r="F29" i="3" s="1"/>
  <c r="O30" i="14" s="1"/>
  <c r="H36" i="8"/>
  <c r="J29" i="3" s="1"/>
  <c r="S30" i="14" s="1"/>
  <c r="C37" i="8"/>
  <c r="D30" i="3" s="1"/>
  <c r="D37" i="8"/>
  <c r="E30" i="3" s="1"/>
  <c r="E37" i="8"/>
  <c r="F30" i="3" s="1"/>
  <c r="H37" i="8"/>
  <c r="J30" i="3" s="1"/>
  <c r="C38" i="8"/>
  <c r="D31" i="3" s="1"/>
  <c r="M31" i="14" s="1"/>
  <c r="D38" i="8"/>
  <c r="E31" i="3" s="1"/>
  <c r="N31" i="14" s="1"/>
  <c r="E38" i="8"/>
  <c r="F31" i="3" s="1"/>
  <c r="O31" i="14" s="1"/>
  <c r="H38" i="8"/>
  <c r="J31" i="3" s="1"/>
  <c r="S31" i="14" s="1"/>
  <c r="C22" i="8"/>
  <c r="D15" i="3" s="1"/>
  <c r="M17" i="14" s="1"/>
  <c r="AC3" i="1"/>
  <c r="AC4" i="1"/>
  <c r="AC2" i="1"/>
  <c r="B3" i="11"/>
  <c r="C3" i="11"/>
  <c r="G29" i="15"/>
  <c r="G30" i="15"/>
  <c r="G31" i="15"/>
  <c r="G32" i="15"/>
  <c r="C31" i="15"/>
  <c r="C32" i="15"/>
  <c r="G17" i="3"/>
  <c r="G18" i="3"/>
  <c r="G21" i="3"/>
  <c r="G22" i="3"/>
  <c r="G24" i="3"/>
  <c r="G25" i="3"/>
  <c r="G27" i="3"/>
  <c r="G28" i="3"/>
  <c r="G29" i="3"/>
  <c r="G30" i="3"/>
  <c r="G31" i="3"/>
  <c r="G15" i="3"/>
  <c r="G14" i="15"/>
  <c r="D14" i="15"/>
  <c r="G14" i="3"/>
  <c r="D14" i="3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15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D7" i="15"/>
  <c r="C30" i="3"/>
  <c r="C31" i="3"/>
  <c r="L31" i="14" s="1"/>
  <c r="D7" i="3"/>
  <c r="D15" i="8"/>
  <c r="D15" i="9" s="1"/>
  <c r="G26" i="3"/>
  <c r="C26" i="3"/>
  <c r="L28" i="14" s="1"/>
  <c r="C27" i="3"/>
  <c r="L29" i="14" s="1"/>
  <c r="C28" i="3"/>
  <c r="C29" i="3"/>
  <c r="L30" i="14" s="1"/>
  <c r="D29" i="3"/>
  <c r="M30" i="14" s="1"/>
  <c r="N38" i="8"/>
  <c r="N35" i="8"/>
  <c r="N36" i="8"/>
  <c r="N37" i="8"/>
  <c r="F17" i="3"/>
  <c r="O19" i="14" s="1"/>
  <c r="E3" i="1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V69" i="1" s="1"/>
  <c r="Z70" i="1"/>
  <c r="Z71" i="1"/>
  <c r="Z72" i="1"/>
  <c r="Z73" i="1"/>
  <c r="Z74" i="1"/>
  <c r="Z75" i="1"/>
  <c r="V75" i="1" s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9" i="1"/>
  <c r="Z10" i="1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H36" i="9"/>
  <c r="J27" i="15" s="1"/>
  <c r="H37" i="9"/>
  <c r="J28" i="15" s="1"/>
  <c r="H38" i="9"/>
  <c r="J29" i="15" s="1"/>
  <c r="H39" i="9"/>
  <c r="J30" i="15" s="1"/>
  <c r="H40" i="9"/>
  <c r="J31" i="15" s="1"/>
  <c r="H41" i="9"/>
  <c r="J32" i="15" s="1"/>
  <c r="S37" i="1"/>
  <c r="X37" i="1"/>
  <c r="Y37" i="1"/>
  <c r="S38" i="1"/>
  <c r="X38" i="1"/>
  <c r="Y38" i="1"/>
  <c r="S39" i="1"/>
  <c r="X39" i="1"/>
  <c r="Y39" i="1"/>
  <c r="S40" i="1"/>
  <c r="X40" i="1"/>
  <c r="Y40" i="1"/>
  <c r="S41" i="1"/>
  <c r="X41" i="1"/>
  <c r="Y41" i="1"/>
  <c r="S42" i="1"/>
  <c r="X42" i="1"/>
  <c r="Y42" i="1"/>
  <c r="S43" i="1"/>
  <c r="X43" i="1"/>
  <c r="Y43" i="1"/>
  <c r="S44" i="1"/>
  <c r="X44" i="1"/>
  <c r="Y44" i="1"/>
  <c r="S45" i="1"/>
  <c r="X45" i="1"/>
  <c r="Y45" i="1"/>
  <c r="S46" i="1"/>
  <c r="X46" i="1"/>
  <c r="Y46" i="1"/>
  <c r="S47" i="1"/>
  <c r="X47" i="1"/>
  <c r="Y47" i="1"/>
  <c r="S48" i="1"/>
  <c r="X48" i="1"/>
  <c r="Y48" i="1"/>
  <c r="S49" i="1"/>
  <c r="X49" i="1"/>
  <c r="Y49" i="1"/>
  <c r="S50" i="1"/>
  <c r="X50" i="1"/>
  <c r="Y50" i="1"/>
  <c r="S51" i="1"/>
  <c r="X51" i="1"/>
  <c r="Y51" i="1"/>
  <c r="S52" i="1"/>
  <c r="X52" i="1"/>
  <c r="Y52" i="1"/>
  <c r="S53" i="1"/>
  <c r="X53" i="1"/>
  <c r="Y53" i="1"/>
  <c r="S54" i="1"/>
  <c r="X54" i="1"/>
  <c r="Y54" i="1"/>
  <c r="S55" i="1"/>
  <c r="X55" i="1"/>
  <c r="Y55" i="1"/>
  <c r="S56" i="1"/>
  <c r="X56" i="1"/>
  <c r="Y56" i="1"/>
  <c r="S57" i="1"/>
  <c r="X57" i="1"/>
  <c r="Y57" i="1"/>
  <c r="V57" i="1" s="1"/>
  <c r="S58" i="1"/>
  <c r="X58" i="1"/>
  <c r="Y58" i="1"/>
  <c r="S59" i="1"/>
  <c r="X59" i="1"/>
  <c r="Y59" i="1"/>
  <c r="S60" i="1"/>
  <c r="X60" i="1"/>
  <c r="Y60" i="1"/>
  <c r="S61" i="1"/>
  <c r="X61" i="1"/>
  <c r="Y61" i="1"/>
  <c r="S62" i="1"/>
  <c r="X62" i="1"/>
  <c r="Y62" i="1"/>
  <c r="AA62" i="1" s="1"/>
  <c r="S63" i="1"/>
  <c r="X63" i="1"/>
  <c r="Y63" i="1"/>
  <c r="S64" i="1"/>
  <c r="X64" i="1"/>
  <c r="Y64" i="1"/>
  <c r="S65" i="1"/>
  <c r="X65" i="1"/>
  <c r="Y65" i="1"/>
  <c r="S66" i="1"/>
  <c r="X66" i="1"/>
  <c r="Y66" i="1"/>
  <c r="S67" i="1"/>
  <c r="X67" i="1"/>
  <c r="Y67" i="1"/>
  <c r="S68" i="1"/>
  <c r="X68" i="1"/>
  <c r="AA68" i="1"/>
  <c r="Y68" i="1"/>
  <c r="S69" i="1"/>
  <c r="X69" i="1"/>
  <c r="AA69" i="1" s="1"/>
  <c r="Y69" i="1"/>
  <c r="S70" i="1"/>
  <c r="X70" i="1"/>
  <c r="Y70" i="1"/>
  <c r="S71" i="1"/>
  <c r="X71" i="1"/>
  <c r="Y71" i="1"/>
  <c r="S72" i="1"/>
  <c r="X72" i="1"/>
  <c r="Y72" i="1"/>
  <c r="S73" i="1"/>
  <c r="X73" i="1"/>
  <c r="Y73" i="1"/>
  <c r="S74" i="1"/>
  <c r="X74" i="1"/>
  <c r="Y74" i="1"/>
  <c r="S75" i="1"/>
  <c r="X75" i="1"/>
  <c r="Y75" i="1"/>
  <c r="S76" i="1"/>
  <c r="X76" i="1"/>
  <c r="Y76" i="1"/>
  <c r="S77" i="1"/>
  <c r="X77" i="1"/>
  <c r="Y77" i="1"/>
  <c r="S78" i="1"/>
  <c r="X78" i="1"/>
  <c r="Y78" i="1"/>
  <c r="S79" i="1"/>
  <c r="X79" i="1"/>
  <c r="Y79" i="1"/>
  <c r="S80" i="1"/>
  <c r="X80" i="1"/>
  <c r="Y80" i="1"/>
  <c r="S81" i="1"/>
  <c r="X81" i="1"/>
  <c r="Y81" i="1"/>
  <c r="S82" i="1"/>
  <c r="X82" i="1"/>
  <c r="Y82" i="1"/>
  <c r="S83" i="1"/>
  <c r="X83" i="1"/>
  <c r="Y83" i="1"/>
  <c r="S84" i="1"/>
  <c r="X84" i="1"/>
  <c r="Y84" i="1"/>
  <c r="S85" i="1"/>
  <c r="X85" i="1"/>
  <c r="Y85" i="1"/>
  <c r="V85" i="1" s="1"/>
  <c r="S86" i="1"/>
  <c r="X86" i="1"/>
  <c r="AA86" i="1" s="1"/>
  <c r="Y86" i="1"/>
  <c r="S87" i="1"/>
  <c r="X87" i="1"/>
  <c r="Y87" i="1"/>
  <c r="S88" i="1"/>
  <c r="X88" i="1"/>
  <c r="Y88" i="1"/>
  <c r="S89" i="1"/>
  <c r="X89" i="1"/>
  <c r="Y89" i="1"/>
  <c r="S90" i="1"/>
  <c r="X90" i="1"/>
  <c r="Y90" i="1"/>
  <c r="S91" i="1"/>
  <c r="X91" i="1"/>
  <c r="Y91" i="1"/>
  <c r="AA91" i="1" s="1"/>
  <c r="S92" i="1"/>
  <c r="X92" i="1"/>
  <c r="Y92" i="1"/>
  <c r="S93" i="1"/>
  <c r="X93" i="1"/>
  <c r="Y93" i="1"/>
  <c r="S94" i="1"/>
  <c r="X94" i="1"/>
  <c r="Y94" i="1"/>
  <c r="S95" i="1"/>
  <c r="X95" i="1"/>
  <c r="Y95" i="1"/>
  <c r="S96" i="1"/>
  <c r="X96" i="1"/>
  <c r="Y96" i="1"/>
  <c r="S97" i="1"/>
  <c r="X97" i="1"/>
  <c r="Y97" i="1"/>
  <c r="S98" i="1"/>
  <c r="X98" i="1"/>
  <c r="Y98" i="1"/>
  <c r="S99" i="1"/>
  <c r="X99" i="1"/>
  <c r="Y99" i="1"/>
  <c r="S100" i="1"/>
  <c r="X100" i="1"/>
  <c r="Y100" i="1"/>
  <c r="S101" i="1"/>
  <c r="X101" i="1"/>
  <c r="Y101" i="1"/>
  <c r="S102" i="1"/>
  <c r="X102" i="1"/>
  <c r="Y102" i="1"/>
  <c r="S103" i="1"/>
  <c r="X103" i="1"/>
  <c r="AA103" i="1" s="1"/>
  <c r="Y103" i="1"/>
  <c r="V103" i="1" s="1"/>
  <c r="S104" i="1"/>
  <c r="X104" i="1"/>
  <c r="Y104" i="1"/>
  <c r="S105" i="1"/>
  <c r="X105" i="1"/>
  <c r="Y105" i="1"/>
  <c r="S106" i="1"/>
  <c r="X106" i="1"/>
  <c r="Y106" i="1"/>
  <c r="S107" i="1"/>
  <c r="X107" i="1"/>
  <c r="Y107" i="1"/>
  <c r="S108" i="1"/>
  <c r="X108" i="1"/>
  <c r="Y108" i="1"/>
  <c r="S109" i="1"/>
  <c r="X109" i="1"/>
  <c r="Y109" i="1"/>
  <c r="AA109" i="1" s="1"/>
  <c r="S110" i="1"/>
  <c r="X110" i="1"/>
  <c r="Y110" i="1"/>
  <c r="S111" i="1"/>
  <c r="X111" i="1"/>
  <c r="Y111" i="1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17" i="14"/>
  <c r="H18" i="14"/>
  <c r="H19" i="14"/>
  <c r="H20" i="14"/>
  <c r="H21" i="14"/>
  <c r="H22" i="14"/>
  <c r="H23" i="14"/>
  <c r="H24" i="14"/>
  <c r="H25" i="14"/>
  <c r="E30" i="14"/>
  <c r="F30" i="14"/>
  <c r="G30" i="14"/>
  <c r="B35" i="14"/>
  <c r="G41" i="9"/>
  <c r="I32" i="15" s="1"/>
  <c r="E41" i="9"/>
  <c r="F32" i="15" s="1"/>
  <c r="D41" i="9"/>
  <c r="E32" i="15" s="1"/>
  <c r="C41" i="9"/>
  <c r="D32" i="15" s="1"/>
  <c r="G40" i="9"/>
  <c r="I31" i="15" s="1"/>
  <c r="E40" i="9"/>
  <c r="F31" i="15" s="1"/>
  <c r="D40" i="9"/>
  <c r="E31" i="15" s="1"/>
  <c r="C40" i="9"/>
  <c r="D31" i="15" s="1"/>
  <c r="G39" i="9"/>
  <c r="I30" i="15" s="1"/>
  <c r="E39" i="9"/>
  <c r="F30" i="15" s="1"/>
  <c r="D39" i="9"/>
  <c r="E30" i="15" s="1"/>
  <c r="C39" i="9"/>
  <c r="D30" i="15" s="1"/>
  <c r="G38" i="9"/>
  <c r="I29" i="15" s="1"/>
  <c r="E38" i="9"/>
  <c r="F29" i="15" s="1"/>
  <c r="D38" i="9"/>
  <c r="E29" i="15" s="1"/>
  <c r="C38" i="9"/>
  <c r="D29" i="15" s="1"/>
  <c r="L13" i="2"/>
  <c r="C16" i="3"/>
  <c r="L18" i="14" s="1"/>
  <c r="G16" i="3"/>
  <c r="C31" i="9"/>
  <c r="D22" i="15" s="1"/>
  <c r="C32" i="9"/>
  <c r="D23" i="15" s="1"/>
  <c r="C33" i="9"/>
  <c r="D24" i="15" s="1"/>
  <c r="C34" i="9"/>
  <c r="D25" i="15" s="1"/>
  <c r="C35" i="9"/>
  <c r="D26" i="15" s="1"/>
  <c r="C36" i="9"/>
  <c r="D27" i="15" s="1"/>
  <c r="C37" i="9"/>
  <c r="D28" i="15" s="1"/>
  <c r="C25" i="9"/>
  <c r="D16" i="15" s="1"/>
  <c r="C26" i="9"/>
  <c r="D17" i="15" s="1"/>
  <c r="C27" i="9"/>
  <c r="D18" i="15" s="1"/>
  <c r="C28" i="9"/>
  <c r="D19" i="15" s="1"/>
  <c r="C29" i="9"/>
  <c r="D20" i="15" s="1"/>
  <c r="C30" i="9"/>
  <c r="D21" i="15" s="1"/>
  <c r="C24" i="9"/>
  <c r="D15" i="15" s="1"/>
  <c r="E36" i="9"/>
  <c r="F27" i="15" s="1"/>
  <c r="E37" i="9"/>
  <c r="F28" i="15" s="1"/>
  <c r="D36" i="9"/>
  <c r="E27" i="15" s="1"/>
  <c r="D37" i="9"/>
  <c r="E28" i="15" s="1"/>
  <c r="G36" i="9"/>
  <c r="I27" i="15" s="1"/>
  <c r="G37" i="9"/>
  <c r="I28" i="15" s="1"/>
  <c r="H22" i="8"/>
  <c r="J15" i="3" s="1"/>
  <c r="S17" i="14" s="1"/>
  <c r="E22" i="8"/>
  <c r="F15" i="3" s="1"/>
  <c r="O17" i="14" s="1"/>
  <c r="D22" i="8"/>
  <c r="E15" i="3" s="1"/>
  <c r="N17" i="14" s="1"/>
  <c r="I13" i="3"/>
  <c r="J13" i="3"/>
  <c r="K13" i="3"/>
  <c r="C15" i="3"/>
  <c r="L17" i="14" s="1"/>
  <c r="C17" i="3"/>
  <c r="L19" i="14" s="1"/>
  <c r="C18" i="3"/>
  <c r="L20" i="14" s="1"/>
  <c r="C19" i="3"/>
  <c r="L21" i="14" s="1"/>
  <c r="G19" i="3"/>
  <c r="C20" i="3"/>
  <c r="L22" i="14" s="1"/>
  <c r="G20" i="3"/>
  <c r="C21" i="3"/>
  <c r="L23" i="14" s="1"/>
  <c r="C22" i="3"/>
  <c r="L24" i="14" s="1"/>
  <c r="C23" i="3"/>
  <c r="L25" i="14" s="1"/>
  <c r="G23" i="3"/>
  <c r="C24" i="3"/>
  <c r="L26" i="14" s="1"/>
  <c r="C25" i="3"/>
  <c r="L27" i="14" s="1"/>
  <c r="L11" i="2"/>
  <c r="L12" i="2"/>
  <c r="U24" i="1" s="1"/>
  <c r="S9" i="1"/>
  <c r="X9" i="1"/>
  <c r="Y9" i="1"/>
  <c r="S10" i="1"/>
  <c r="X10" i="1"/>
  <c r="AA10" i="1" s="1"/>
  <c r="Y10" i="1"/>
  <c r="S11" i="1"/>
  <c r="X11" i="1"/>
  <c r="Y11" i="1"/>
  <c r="S12" i="1"/>
  <c r="X12" i="1"/>
  <c r="Y12" i="1"/>
  <c r="S13" i="1"/>
  <c r="X13" i="1"/>
  <c r="Y13" i="1"/>
  <c r="S14" i="1"/>
  <c r="X14" i="1"/>
  <c r="AA14" i="1" s="1"/>
  <c r="Y14" i="1"/>
  <c r="S15" i="1"/>
  <c r="X15" i="1"/>
  <c r="Y15" i="1"/>
  <c r="S16" i="1"/>
  <c r="X16" i="1"/>
  <c r="Y16" i="1"/>
  <c r="S17" i="1"/>
  <c r="X17" i="1"/>
  <c r="Y17" i="1"/>
  <c r="V17" i="1" s="1"/>
  <c r="S18" i="1"/>
  <c r="X18" i="1"/>
  <c r="Y18" i="1"/>
  <c r="S19" i="1"/>
  <c r="X19" i="1"/>
  <c r="Y19" i="1"/>
  <c r="V19" i="1" s="1"/>
  <c r="S20" i="1"/>
  <c r="X20" i="1"/>
  <c r="Y20" i="1"/>
  <c r="S21" i="1"/>
  <c r="X21" i="1"/>
  <c r="Y21" i="1"/>
  <c r="S22" i="1"/>
  <c r="X22" i="1"/>
  <c r="Y22" i="1"/>
  <c r="S23" i="1"/>
  <c r="X23" i="1"/>
  <c r="Y23" i="1"/>
  <c r="S24" i="1"/>
  <c r="X24" i="1"/>
  <c r="Y24" i="1"/>
  <c r="S25" i="1"/>
  <c r="X25" i="1"/>
  <c r="AA25" i="1"/>
  <c r="Y25" i="1"/>
  <c r="S26" i="1"/>
  <c r="X26" i="1"/>
  <c r="Y26" i="1"/>
  <c r="S27" i="1"/>
  <c r="X27" i="1"/>
  <c r="Y27" i="1"/>
  <c r="S28" i="1"/>
  <c r="X28" i="1"/>
  <c r="Y28" i="1"/>
  <c r="S29" i="1"/>
  <c r="X29" i="1"/>
  <c r="Y29" i="1"/>
  <c r="S30" i="1"/>
  <c r="X30" i="1"/>
  <c r="Y30" i="1"/>
  <c r="S31" i="1"/>
  <c r="X31" i="1"/>
  <c r="AA31" i="1" s="1"/>
  <c r="Y31" i="1"/>
  <c r="S32" i="1"/>
  <c r="X32" i="1"/>
  <c r="Y32" i="1"/>
  <c r="S33" i="1"/>
  <c r="X33" i="1"/>
  <c r="Y33" i="1"/>
  <c r="S34" i="1"/>
  <c r="X34" i="1"/>
  <c r="Y34" i="1"/>
  <c r="S35" i="1"/>
  <c r="X35" i="1"/>
  <c r="Y35" i="1"/>
  <c r="S36" i="1"/>
  <c r="X36" i="1"/>
  <c r="Y36" i="1"/>
  <c r="D24" i="9"/>
  <c r="E15" i="15" s="1"/>
  <c r="E24" i="9"/>
  <c r="F15" i="15" s="1"/>
  <c r="G24" i="9"/>
  <c r="I15" i="15" s="1"/>
  <c r="H24" i="9"/>
  <c r="J15" i="15"/>
  <c r="D25" i="9"/>
  <c r="E16" i="15" s="1"/>
  <c r="E25" i="9"/>
  <c r="F16" i="15" s="1"/>
  <c r="G25" i="9"/>
  <c r="I16" i="15" s="1"/>
  <c r="H25" i="9"/>
  <c r="J16" i="15" s="1"/>
  <c r="D26" i="9"/>
  <c r="E17" i="15" s="1"/>
  <c r="E26" i="9"/>
  <c r="F17" i="15" s="1"/>
  <c r="G26" i="9"/>
  <c r="I17" i="15" s="1"/>
  <c r="H26" i="9"/>
  <c r="J17" i="15" s="1"/>
  <c r="D27" i="9"/>
  <c r="E18" i="15" s="1"/>
  <c r="E27" i="9"/>
  <c r="F18" i="15" s="1"/>
  <c r="G27" i="9"/>
  <c r="I18" i="15" s="1"/>
  <c r="H27" i="9"/>
  <c r="J18" i="15" s="1"/>
  <c r="D28" i="9"/>
  <c r="E19" i="15" s="1"/>
  <c r="E28" i="9"/>
  <c r="F19" i="15" s="1"/>
  <c r="G28" i="9"/>
  <c r="I19" i="15" s="1"/>
  <c r="H28" i="9"/>
  <c r="J19" i="15" s="1"/>
  <c r="D29" i="9"/>
  <c r="E20" i="15" s="1"/>
  <c r="E29" i="9"/>
  <c r="F20" i="15" s="1"/>
  <c r="G29" i="9"/>
  <c r="I20" i="15" s="1"/>
  <c r="H29" i="9"/>
  <c r="J20" i="15" s="1"/>
  <c r="D30" i="9"/>
  <c r="E21" i="15" s="1"/>
  <c r="E30" i="9"/>
  <c r="F21" i="15" s="1"/>
  <c r="G30" i="9"/>
  <c r="I21" i="15" s="1"/>
  <c r="H30" i="9"/>
  <c r="J21" i="15" s="1"/>
  <c r="D31" i="9"/>
  <c r="E22" i="15" s="1"/>
  <c r="E31" i="9"/>
  <c r="F22" i="15" s="1"/>
  <c r="G31" i="9"/>
  <c r="I22" i="15" s="1"/>
  <c r="H31" i="9"/>
  <c r="J22" i="15" s="1"/>
  <c r="D32" i="9"/>
  <c r="E23" i="15" s="1"/>
  <c r="E32" i="9"/>
  <c r="F23" i="15" s="1"/>
  <c r="G32" i="9"/>
  <c r="I23" i="15" s="1"/>
  <c r="H32" i="9"/>
  <c r="J23" i="15" s="1"/>
  <c r="D33" i="9"/>
  <c r="E24" i="15" s="1"/>
  <c r="E33" i="9"/>
  <c r="F24" i="15" s="1"/>
  <c r="G33" i="9"/>
  <c r="I24" i="15" s="1"/>
  <c r="H33" i="9"/>
  <c r="J24" i="15" s="1"/>
  <c r="D34" i="9"/>
  <c r="E25" i="15" s="1"/>
  <c r="E34" i="9"/>
  <c r="F25" i="15" s="1"/>
  <c r="G34" i="9"/>
  <c r="I25" i="15" s="1"/>
  <c r="H34" i="9"/>
  <c r="J25" i="15" s="1"/>
  <c r="D35" i="9"/>
  <c r="E26" i="15" s="1"/>
  <c r="E35" i="9"/>
  <c r="F26" i="15" s="1"/>
  <c r="G35" i="9"/>
  <c r="H35" i="9"/>
  <c r="J26" i="15" s="1"/>
  <c r="U50" i="1"/>
  <c r="AA28" i="1"/>
  <c r="I26" i="15"/>
  <c r="H26" i="14"/>
  <c r="D35" i="14" s="1"/>
  <c r="D36" i="14" s="1"/>
  <c r="V110" i="1"/>
  <c r="AA37" i="1"/>
  <c r="AA32" i="1"/>
  <c r="AA17" i="1"/>
  <c r="V70" i="1"/>
  <c r="AA56" i="1"/>
  <c r="V38" i="1"/>
  <c r="U86" i="1"/>
  <c r="U93" i="1"/>
  <c r="V14" i="1"/>
  <c r="V66" i="1"/>
  <c r="V49" i="1"/>
  <c r="V34" i="1"/>
  <c r="V109" i="1"/>
  <c r="V92" i="1"/>
  <c r="AA63" i="1"/>
  <c r="V43" i="1"/>
  <c r="C31" i="14"/>
  <c r="AA38" i="1" l="1"/>
  <c r="V10" i="1"/>
  <c r="AA107" i="1"/>
  <c r="AA101" i="1"/>
  <c r="V95" i="1"/>
  <c r="V35" i="1"/>
  <c r="V29" i="1"/>
  <c r="AA23" i="1"/>
  <c r="AA11" i="1"/>
  <c r="V9" i="1"/>
  <c r="V106" i="1"/>
  <c r="AA100" i="1"/>
  <c r="V82" i="1"/>
  <c r="V76" i="1"/>
  <c r="V58" i="1"/>
  <c r="V52" i="1"/>
  <c r="AA46" i="1"/>
  <c r="V40" i="1"/>
  <c r="V28" i="1"/>
  <c r="V16" i="1"/>
  <c r="AA93" i="1"/>
  <c r="AA81" i="1"/>
  <c r="V63" i="1"/>
  <c r="V45" i="1"/>
  <c r="V39" i="1"/>
  <c r="AA21" i="1"/>
  <c r="V15" i="1"/>
  <c r="H27" i="14"/>
  <c r="F35" i="14" s="1"/>
  <c r="V98" i="1"/>
  <c r="AA92" i="1"/>
  <c r="V86" i="1"/>
  <c r="V80" i="1"/>
  <c r="AA74" i="1"/>
  <c r="V68" i="1"/>
  <c r="V56" i="1"/>
  <c r="V50" i="1"/>
  <c r="V44" i="1"/>
  <c r="V32" i="1"/>
  <c r="AA26" i="1"/>
  <c r="AA94" i="1"/>
  <c r="AA85" i="1"/>
  <c r="AA79" i="1"/>
  <c r="AA73" i="1"/>
  <c r="AA67" i="1"/>
  <c r="V61" i="1"/>
  <c r="AA49" i="1"/>
  <c r="AA43" i="1"/>
  <c r="V37" i="1"/>
  <c r="V31" i="1"/>
  <c r="V108" i="1"/>
  <c r="V90" i="1"/>
  <c r="V84" i="1"/>
  <c r="V78" i="1"/>
  <c r="V72" i="1"/>
  <c r="AA54" i="1"/>
  <c r="AA48" i="1"/>
  <c r="V42" i="1"/>
  <c r="V24" i="1"/>
  <c r="V12" i="1"/>
  <c r="U21" i="1"/>
  <c r="AA75" i="1"/>
  <c r="AA27" i="1"/>
  <c r="U42" i="1"/>
  <c r="U28" i="1"/>
  <c r="V100" i="1"/>
  <c r="AA16" i="1"/>
  <c r="U75" i="1"/>
  <c r="T75" i="1" s="1"/>
  <c r="R75" i="1" s="1"/>
  <c r="AB75" i="1" s="1"/>
  <c r="U99" i="1"/>
  <c r="U25" i="1"/>
  <c r="U85" i="1"/>
  <c r="U89" i="1"/>
  <c r="V93" i="1"/>
  <c r="T93" i="1" s="1"/>
  <c r="R93" i="1" s="1"/>
  <c r="AB93" i="1" s="1"/>
  <c r="AA58" i="1"/>
  <c r="AA52" i="1"/>
  <c r="V46" i="1"/>
  <c r="U87" i="1"/>
  <c r="U72" i="1"/>
  <c r="T72" i="1" s="1"/>
  <c r="R72" i="1" s="1"/>
  <c r="AB72" i="1" s="1"/>
  <c r="U43" i="1"/>
  <c r="T43" i="1" s="1"/>
  <c r="R43" i="1" s="1"/>
  <c r="AB43" i="1" s="1"/>
  <c r="U78" i="1"/>
  <c r="AA22" i="1"/>
  <c r="AA15" i="1"/>
  <c r="U12" i="1"/>
  <c r="U18" i="1"/>
  <c r="U61" i="1"/>
  <c r="U30" i="1"/>
  <c r="U41" i="1"/>
  <c r="AA70" i="1"/>
  <c r="AA64" i="1"/>
  <c r="AA57" i="1"/>
  <c r="AA90" i="1"/>
  <c r="AA84" i="1"/>
  <c r="AA78" i="1"/>
  <c r="AA72" i="1"/>
  <c r="AA60" i="1"/>
  <c r="T50" i="1"/>
  <c r="R50" i="1" s="1"/>
  <c r="AB50" i="1" s="1"/>
  <c r="AA12" i="1"/>
  <c r="AA108" i="1"/>
  <c r="AA102" i="1"/>
  <c r="V96" i="1"/>
  <c r="AA42" i="1"/>
  <c r="V101" i="1"/>
  <c r="AA50" i="1"/>
  <c r="AA44" i="1"/>
  <c r="V11" i="1"/>
  <c r="V23" i="1"/>
  <c r="AA104" i="1"/>
  <c r="AA20" i="1"/>
  <c r="AA110" i="1"/>
  <c r="V104" i="1"/>
  <c r="AA9" i="1"/>
  <c r="AA95" i="1"/>
  <c r="V89" i="1"/>
  <c r="T86" i="1"/>
  <c r="R86" i="1" s="1"/>
  <c r="AB86" i="1" s="1"/>
  <c r="T42" i="1"/>
  <c r="R42" i="1" s="1"/>
  <c r="AB42" i="1" s="1"/>
  <c r="T85" i="1"/>
  <c r="R85" i="1" s="1"/>
  <c r="AB85" i="1" s="1"/>
  <c r="V26" i="1"/>
  <c r="F36" i="14"/>
  <c r="AA55" i="1"/>
  <c r="AA96" i="1"/>
  <c r="V54" i="1"/>
  <c r="V60" i="1"/>
  <c r="U69" i="1"/>
  <c r="T69" i="1" s="1"/>
  <c r="R69" i="1" s="1"/>
  <c r="AB69" i="1" s="1"/>
  <c r="U106" i="1"/>
  <c r="U19" i="1"/>
  <c r="T19" i="1" s="1"/>
  <c r="R19" i="1" s="1"/>
  <c r="AB19" i="1" s="1"/>
  <c r="I34" i="9" s="1"/>
  <c r="J34" i="9" s="1"/>
  <c r="V73" i="1"/>
  <c r="H28" i="14"/>
  <c r="H35" i="14" s="1"/>
  <c r="H36" i="14" s="1"/>
  <c r="U16" i="1"/>
  <c r="T16" i="1" s="1"/>
  <c r="R16" i="1" s="1"/>
  <c r="U54" i="1"/>
  <c r="U96" i="1"/>
  <c r="U31" i="1"/>
  <c r="T31" i="1" s="1"/>
  <c r="R31" i="1" s="1"/>
  <c r="AB31" i="1" s="1"/>
  <c r="U102" i="1"/>
  <c r="U73" i="1"/>
  <c r="U58" i="1"/>
  <c r="T58" i="1" s="1"/>
  <c r="R58" i="1" s="1"/>
  <c r="AB58" i="1" s="1"/>
  <c r="V102" i="1"/>
  <c r="V91" i="1"/>
  <c r="AA80" i="1"/>
  <c r="V74" i="1"/>
  <c r="AA33" i="1"/>
  <c r="V27" i="1"/>
  <c r="V22" i="1"/>
  <c r="V79" i="1"/>
  <c r="V62" i="1"/>
  <c r="T24" i="1"/>
  <c r="R24" i="1" s="1"/>
  <c r="M37" i="8" s="1"/>
  <c r="U71" i="1"/>
  <c r="U83" i="1"/>
  <c r="U79" i="1"/>
  <c r="T79" i="1" s="1"/>
  <c r="R79" i="1" s="1"/>
  <c r="AB79" i="1" s="1"/>
  <c r="U109" i="1"/>
  <c r="U81" i="1"/>
  <c r="U92" i="1"/>
  <c r="T92" i="1" s="1"/>
  <c r="R92" i="1" s="1"/>
  <c r="AB92" i="1" s="1"/>
  <c r="V67" i="1"/>
  <c r="U53" i="1"/>
  <c r="U100" i="1"/>
  <c r="U45" i="1"/>
  <c r="T45" i="1" s="1"/>
  <c r="R45" i="1" s="1"/>
  <c r="AB45" i="1" s="1"/>
  <c r="U34" i="1"/>
  <c r="T34" i="1" s="1"/>
  <c r="R34" i="1" s="1"/>
  <c r="AB34" i="1" s="1"/>
  <c r="V20" i="1"/>
  <c r="U80" i="1"/>
  <c r="T80" i="1" s="1"/>
  <c r="R80" i="1" s="1"/>
  <c r="AB80" i="1" s="1"/>
  <c r="V97" i="1"/>
  <c r="V81" i="1"/>
  <c r="AA51" i="1"/>
  <c r="AA45" i="1"/>
  <c r="AA39" i="1"/>
  <c r="AA34" i="1"/>
  <c r="U46" i="1"/>
  <c r="T46" i="1" s="1"/>
  <c r="R46" i="1" s="1"/>
  <c r="AB46" i="1" s="1"/>
  <c r="U22" i="1"/>
  <c r="U62" i="1"/>
  <c r="V21" i="1"/>
  <c r="U55" i="1"/>
  <c r="U88" i="1"/>
  <c r="AA98" i="1"/>
  <c r="V87" i="1"/>
  <c r="T87" i="1" s="1"/>
  <c r="R87" i="1" s="1"/>
  <c r="AB87" i="1" s="1"/>
  <c r="AA76" i="1"/>
  <c r="V64" i="1"/>
  <c r="AA40" i="1"/>
  <c r="AA35" i="1"/>
  <c r="AA29" i="1"/>
  <c r="AA24" i="1"/>
  <c r="V18" i="1"/>
  <c r="T12" i="1"/>
  <c r="R12" i="1" s="1"/>
  <c r="AB12" i="1" s="1"/>
  <c r="I27" i="9" s="1"/>
  <c r="U20" i="1"/>
  <c r="U57" i="1"/>
  <c r="T57" i="1" s="1"/>
  <c r="R57" i="1" s="1"/>
  <c r="AB57" i="1" s="1"/>
  <c r="U17" i="1"/>
  <c r="T17" i="1" s="1"/>
  <c r="R17" i="1" s="1"/>
  <c r="U94" i="1"/>
  <c r="U29" i="1"/>
  <c r="T29" i="1" s="1"/>
  <c r="R29" i="1" s="1"/>
  <c r="AB29" i="1" s="1"/>
  <c r="V48" i="1"/>
  <c r="AA61" i="1"/>
  <c r="U105" i="1"/>
  <c r="U82" i="1"/>
  <c r="T82" i="1" s="1"/>
  <c r="R82" i="1" s="1"/>
  <c r="AB82" i="1" s="1"/>
  <c r="U108" i="1"/>
  <c r="T108" i="1" s="1"/>
  <c r="R108" i="1" s="1"/>
  <c r="AB108" i="1" s="1"/>
  <c r="U90" i="1"/>
  <c r="T90" i="1" s="1"/>
  <c r="R90" i="1" s="1"/>
  <c r="AB90" i="1" s="1"/>
  <c r="U9" i="1"/>
  <c r="U107" i="1"/>
  <c r="U111" i="1"/>
  <c r="U91" i="1"/>
  <c r="U47" i="1"/>
  <c r="U11" i="1"/>
  <c r="T11" i="1" s="1"/>
  <c r="R11" i="1" s="1"/>
  <c r="AB11" i="1" s="1"/>
  <c r="I26" i="9" s="1"/>
  <c r="U15" i="1"/>
  <c r="T15" i="1" s="1"/>
  <c r="R15" i="1" s="1"/>
  <c r="U26" i="1"/>
  <c r="AA111" i="1"/>
  <c r="AA105" i="1"/>
  <c r="AA99" i="1"/>
  <c r="V94" i="1"/>
  <c r="AA88" i="1"/>
  <c r="AA83" i="1"/>
  <c r="AA77" i="1"/>
  <c r="V71" i="1"/>
  <c r="V65" i="1"/>
  <c r="V59" i="1"/>
  <c r="V53" i="1"/>
  <c r="V47" i="1"/>
  <c r="AA41" i="1"/>
  <c r="V36" i="1"/>
  <c r="V30" i="1"/>
  <c r="T30" i="1" s="1"/>
  <c r="R30" i="1" s="1"/>
  <c r="AB30" i="1" s="1"/>
  <c r="V25" i="1"/>
  <c r="T25" i="1" s="1"/>
  <c r="R25" i="1" s="1"/>
  <c r="AB25" i="1" s="1"/>
  <c r="I40" i="9" s="1"/>
  <c r="K31" i="15" s="1"/>
  <c r="L31" i="15" s="1"/>
  <c r="AA19" i="1"/>
  <c r="V13" i="1"/>
  <c r="AA106" i="1"/>
  <c r="AA89" i="1"/>
  <c r="AA66" i="1"/>
  <c r="AA53" i="1"/>
  <c r="AA71" i="1"/>
  <c r="V41" i="1"/>
  <c r="T41" i="1" s="1"/>
  <c r="R41" i="1" s="1"/>
  <c r="AB41" i="1" s="1"/>
  <c r="AA36" i="1"/>
  <c r="AA59" i="1"/>
  <c r="V77" i="1"/>
  <c r="T61" i="1"/>
  <c r="R61" i="1" s="1"/>
  <c r="AB61" i="1" s="1"/>
  <c r="AA47" i="1"/>
  <c r="V105" i="1"/>
  <c r="AA13" i="1"/>
  <c r="V83" i="1"/>
  <c r="V111" i="1"/>
  <c r="V88" i="1"/>
  <c r="AA30" i="1"/>
  <c r="V99" i="1"/>
  <c r="T99" i="1" s="1"/>
  <c r="R99" i="1" s="1"/>
  <c r="AB99" i="1" s="1"/>
  <c r="T109" i="1"/>
  <c r="R109" i="1" s="1"/>
  <c r="AB109" i="1" s="1"/>
  <c r="T28" i="1"/>
  <c r="R28" i="1" s="1"/>
  <c r="AB28" i="1" s="1"/>
  <c r="T96" i="1"/>
  <c r="R96" i="1" s="1"/>
  <c r="AB96" i="1" s="1"/>
  <c r="AA65" i="1"/>
  <c r="AA87" i="1"/>
  <c r="AA97" i="1"/>
  <c r="AA82" i="1"/>
  <c r="U101" i="1"/>
  <c r="U35" i="1"/>
  <c r="T35" i="1" s="1"/>
  <c r="R35" i="1" s="1"/>
  <c r="AB35" i="1" s="1"/>
  <c r="U74" i="1"/>
  <c r="AA18" i="1"/>
  <c r="U23" i="1"/>
  <c r="U10" i="1"/>
  <c r="T10" i="1" s="1"/>
  <c r="R10" i="1" s="1"/>
  <c r="U49" i="1"/>
  <c r="T49" i="1" s="1"/>
  <c r="R49" i="1" s="1"/>
  <c r="AB49" i="1" s="1"/>
  <c r="U66" i="1"/>
  <c r="T66" i="1" s="1"/>
  <c r="R66" i="1" s="1"/>
  <c r="AB66" i="1" s="1"/>
  <c r="U76" i="1"/>
  <c r="T76" i="1" s="1"/>
  <c r="R76" i="1" s="1"/>
  <c r="AB76" i="1" s="1"/>
  <c r="U52" i="1"/>
  <c r="T52" i="1" s="1"/>
  <c r="R52" i="1" s="1"/>
  <c r="AB52" i="1" s="1"/>
  <c r="U64" i="1"/>
  <c r="U40" i="1"/>
  <c r="T40" i="1" s="1"/>
  <c r="R40" i="1" s="1"/>
  <c r="AB40" i="1" s="1"/>
  <c r="U103" i="1"/>
  <c r="T103" i="1" s="1"/>
  <c r="R103" i="1" s="1"/>
  <c r="AB103" i="1" s="1"/>
  <c r="V33" i="1"/>
  <c r="V55" i="1"/>
  <c r="U67" i="1"/>
  <c r="U33" i="1"/>
  <c r="U77" i="1"/>
  <c r="U14" i="1"/>
  <c r="T14" i="1" s="1"/>
  <c r="R14" i="1" s="1"/>
  <c r="U44" i="1"/>
  <c r="T44" i="1" s="1"/>
  <c r="R44" i="1" s="1"/>
  <c r="AB44" i="1" s="1"/>
  <c r="U39" i="1"/>
  <c r="T39" i="1" s="1"/>
  <c r="R39" i="1" s="1"/>
  <c r="AB39" i="1" s="1"/>
  <c r="U65" i="1"/>
  <c r="U104" i="1"/>
  <c r="V107" i="1"/>
  <c r="U37" i="1"/>
  <c r="T37" i="1" s="1"/>
  <c r="R37" i="1" s="1"/>
  <c r="AB37" i="1" s="1"/>
  <c r="U27" i="1"/>
  <c r="U70" i="1"/>
  <c r="T70" i="1" s="1"/>
  <c r="R70" i="1" s="1"/>
  <c r="AB70" i="1" s="1"/>
  <c r="U63" i="1"/>
  <c r="T63" i="1" s="1"/>
  <c r="R63" i="1" s="1"/>
  <c r="AB63" i="1" s="1"/>
  <c r="U51" i="1"/>
  <c r="U32" i="1"/>
  <c r="T32" i="1" s="1"/>
  <c r="R32" i="1" s="1"/>
  <c r="AB32" i="1" s="1"/>
  <c r="U95" i="1"/>
  <c r="T95" i="1" s="1"/>
  <c r="R95" i="1" s="1"/>
  <c r="AB95" i="1" s="1"/>
  <c r="U56" i="1"/>
  <c r="T56" i="1" s="1"/>
  <c r="R56" i="1" s="1"/>
  <c r="AB56" i="1" s="1"/>
  <c r="U48" i="1"/>
  <c r="U13" i="1"/>
  <c r="U110" i="1"/>
  <c r="T110" i="1" s="1"/>
  <c r="R110" i="1" s="1"/>
  <c r="AB110" i="1" s="1"/>
  <c r="U36" i="1"/>
  <c r="V51" i="1"/>
  <c r="U59" i="1"/>
  <c r="U84" i="1"/>
  <c r="T84" i="1" s="1"/>
  <c r="R84" i="1" s="1"/>
  <c r="AB84" i="1" s="1"/>
  <c r="U60" i="1"/>
  <c r="U38" i="1"/>
  <c r="T38" i="1" s="1"/>
  <c r="R38" i="1" s="1"/>
  <c r="AB38" i="1" s="1"/>
  <c r="U68" i="1"/>
  <c r="T68" i="1" s="1"/>
  <c r="R68" i="1" s="1"/>
  <c r="AB68" i="1" s="1"/>
  <c r="U98" i="1"/>
  <c r="T98" i="1" s="1"/>
  <c r="R98" i="1" s="1"/>
  <c r="AB98" i="1" s="1"/>
  <c r="U97" i="1"/>
  <c r="T9" i="1" l="1"/>
  <c r="R9" i="1" s="1"/>
  <c r="AB9" i="1" s="1"/>
  <c r="I24" i="9" s="1"/>
  <c r="K15" i="15" s="1"/>
  <c r="L15" i="15" s="1"/>
  <c r="L33" i="15" s="1"/>
  <c r="L36" i="15" s="1"/>
  <c r="T106" i="1"/>
  <c r="R106" i="1" s="1"/>
  <c r="AB106" i="1" s="1"/>
  <c r="T81" i="1"/>
  <c r="R81" i="1" s="1"/>
  <c r="AB81" i="1" s="1"/>
  <c r="T100" i="1"/>
  <c r="R100" i="1" s="1"/>
  <c r="AB100" i="1" s="1"/>
  <c r="T78" i="1"/>
  <c r="R78" i="1" s="1"/>
  <c r="AB78" i="1" s="1"/>
  <c r="T18" i="1"/>
  <c r="R18" i="1" s="1"/>
  <c r="M31" i="8" s="1"/>
  <c r="M25" i="8"/>
  <c r="O25" i="8" s="1"/>
  <c r="T21" i="1"/>
  <c r="R21" i="1" s="1"/>
  <c r="AB21" i="1" s="1"/>
  <c r="I36" i="9" s="1"/>
  <c r="K27" i="15" s="1"/>
  <c r="L27" i="15" s="1"/>
  <c r="T104" i="1"/>
  <c r="R104" i="1" s="1"/>
  <c r="AB104" i="1" s="1"/>
  <c r="T91" i="1"/>
  <c r="R91" i="1" s="1"/>
  <c r="AB91" i="1" s="1"/>
  <c r="T89" i="1"/>
  <c r="R89" i="1" s="1"/>
  <c r="AB89" i="1" s="1"/>
  <c r="T94" i="1"/>
  <c r="R94" i="1" s="1"/>
  <c r="AB94" i="1" s="1"/>
  <c r="T88" i="1"/>
  <c r="R88" i="1" s="1"/>
  <c r="AB88" i="1" s="1"/>
  <c r="T105" i="1"/>
  <c r="R105" i="1" s="1"/>
  <c r="AB105" i="1" s="1"/>
  <c r="T23" i="1"/>
  <c r="R23" i="1" s="1"/>
  <c r="AB23" i="1" s="1"/>
  <c r="I38" i="9" s="1"/>
  <c r="T107" i="1"/>
  <c r="R107" i="1" s="1"/>
  <c r="AB107" i="1" s="1"/>
  <c r="T101" i="1"/>
  <c r="R101" i="1" s="1"/>
  <c r="AB101" i="1" s="1"/>
  <c r="AB24" i="1"/>
  <c r="I39" i="9" s="1"/>
  <c r="J39" i="9" s="1"/>
  <c r="T71" i="1"/>
  <c r="R71" i="1" s="1"/>
  <c r="AB71" i="1" s="1"/>
  <c r="T102" i="1"/>
  <c r="R102" i="1" s="1"/>
  <c r="AB102" i="1" s="1"/>
  <c r="T64" i="1"/>
  <c r="R64" i="1" s="1"/>
  <c r="AB64" i="1" s="1"/>
  <c r="K25" i="15"/>
  <c r="L25" i="15" s="1"/>
  <c r="T97" i="1"/>
  <c r="R97" i="1" s="1"/>
  <c r="AB97" i="1" s="1"/>
  <c r="T53" i="1"/>
  <c r="R53" i="1" s="1"/>
  <c r="AB53" i="1" s="1"/>
  <c r="T74" i="1"/>
  <c r="R74" i="1" s="1"/>
  <c r="AB74" i="1" s="1"/>
  <c r="M32" i="8"/>
  <c r="O32" i="8" s="1"/>
  <c r="T26" i="1"/>
  <c r="R26" i="1" s="1"/>
  <c r="AB26" i="1" s="1"/>
  <c r="I41" i="9" s="1"/>
  <c r="K32" i="15" s="1"/>
  <c r="L32" i="15" s="1"/>
  <c r="T54" i="1"/>
  <c r="R54" i="1" s="1"/>
  <c r="AB54" i="1" s="1"/>
  <c r="T77" i="1"/>
  <c r="R77" i="1" s="1"/>
  <c r="AB77" i="1" s="1"/>
  <c r="M30" i="8"/>
  <c r="O30" i="8" s="1"/>
  <c r="AB17" i="1"/>
  <c r="I32" i="9" s="1"/>
  <c r="J32" i="9" s="1"/>
  <c r="M28" i="8"/>
  <c r="O28" i="8" s="1"/>
  <c r="AB15" i="1"/>
  <c r="I30" i="9" s="1"/>
  <c r="K21" i="15" s="1"/>
  <c r="L21" i="15" s="1"/>
  <c r="T20" i="1"/>
  <c r="R20" i="1" s="1"/>
  <c r="M33" i="8" s="1"/>
  <c r="O33" i="8" s="1"/>
  <c r="T62" i="1"/>
  <c r="R62" i="1" s="1"/>
  <c r="AB62" i="1" s="1"/>
  <c r="AB18" i="1"/>
  <c r="I33" i="9" s="1"/>
  <c r="J33" i="9" s="1"/>
  <c r="J36" i="9"/>
  <c r="AB16" i="1"/>
  <c r="I31" i="9" s="1"/>
  <c r="K22" i="15" s="1"/>
  <c r="L22" i="15" s="1"/>
  <c r="M29" i="8"/>
  <c r="O29" i="8" s="1"/>
  <c r="I35" i="14"/>
  <c r="I36" i="14" s="1"/>
  <c r="M24" i="8"/>
  <c r="O24" i="8" s="1"/>
  <c r="T48" i="1"/>
  <c r="R48" i="1" s="1"/>
  <c r="AB48" i="1" s="1"/>
  <c r="T55" i="1"/>
  <c r="R55" i="1" s="1"/>
  <c r="AB55" i="1" s="1"/>
  <c r="J41" i="9"/>
  <c r="M38" i="8"/>
  <c r="O38" i="8" s="1"/>
  <c r="M34" i="8"/>
  <c r="O34" i="8" s="1"/>
  <c r="T83" i="1"/>
  <c r="R83" i="1" s="1"/>
  <c r="AB83" i="1" s="1"/>
  <c r="T47" i="1"/>
  <c r="R47" i="1" s="1"/>
  <c r="AB47" i="1" s="1"/>
  <c r="H30" i="14"/>
  <c r="H29" i="14" s="1"/>
  <c r="T60" i="1"/>
  <c r="R60" i="1" s="1"/>
  <c r="AB60" i="1" s="1"/>
  <c r="T13" i="1"/>
  <c r="R13" i="1" s="1"/>
  <c r="M26" i="8" s="1"/>
  <c r="T65" i="1"/>
  <c r="R65" i="1" s="1"/>
  <c r="AB65" i="1" s="1"/>
  <c r="T67" i="1"/>
  <c r="R67" i="1" s="1"/>
  <c r="AB67" i="1" s="1"/>
  <c r="T111" i="1"/>
  <c r="R111" i="1" s="1"/>
  <c r="AB111" i="1" s="1"/>
  <c r="T73" i="1"/>
  <c r="R73" i="1" s="1"/>
  <c r="AB73" i="1" s="1"/>
  <c r="T36" i="1"/>
  <c r="R36" i="1" s="1"/>
  <c r="AB36" i="1" s="1"/>
  <c r="T59" i="1"/>
  <c r="R59" i="1" s="1"/>
  <c r="AB59" i="1" s="1"/>
  <c r="T27" i="1"/>
  <c r="R27" i="1" s="1"/>
  <c r="AB27" i="1" s="1"/>
  <c r="T22" i="1"/>
  <c r="R22" i="1" s="1"/>
  <c r="M27" i="8"/>
  <c r="AB14" i="1"/>
  <c r="I29" i="9" s="1"/>
  <c r="AB10" i="1"/>
  <c r="I25" i="9" s="1"/>
  <c r="M23" i="8"/>
  <c r="K37" i="8"/>
  <c r="G37" i="8" s="1"/>
  <c r="O37" i="8"/>
  <c r="J27" i="9"/>
  <c r="K18" i="15"/>
  <c r="L18" i="15" s="1"/>
  <c r="T51" i="1"/>
  <c r="R51" i="1" s="1"/>
  <c r="AB51" i="1" s="1"/>
  <c r="J26" i="9"/>
  <c r="K17" i="15"/>
  <c r="L17" i="15" s="1"/>
  <c r="K25" i="8"/>
  <c r="G25" i="8" s="1"/>
  <c r="T33" i="1"/>
  <c r="R33" i="1" s="1"/>
  <c r="AB33" i="1" s="1"/>
  <c r="J40" i="9"/>
  <c r="K32" i="8"/>
  <c r="G32" i="8" s="1"/>
  <c r="M22" i="8" l="1"/>
  <c r="O22" i="8" s="1"/>
  <c r="K31" i="8"/>
  <c r="G31" i="8" s="1"/>
  <c r="I31" i="8" s="1"/>
  <c r="O31" i="8"/>
  <c r="J31" i="9"/>
  <c r="K23" i="15"/>
  <c r="L23" i="15" s="1"/>
  <c r="K28" i="8"/>
  <c r="G28" i="8" s="1"/>
  <c r="J24" i="9"/>
  <c r="J43" i="9" s="1"/>
  <c r="AB20" i="1"/>
  <c r="I35" i="9" s="1"/>
  <c r="K26" i="15" s="1"/>
  <c r="L26" i="15" s="1"/>
  <c r="M36" i="8"/>
  <c r="K36" i="8" s="1"/>
  <c r="G36" i="8" s="1"/>
  <c r="J30" i="9"/>
  <c r="L34" i="15"/>
  <c r="L37" i="15" s="1"/>
  <c r="K30" i="15"/>
  <c r="L30" i="15" s="1"/>
  <c r="L35" i="15"/>
  <c r="K29" i="8"/>
  <c r="G29" i="8" s="1"/>
  <c r="K34" i="8"/>
  <c r="G34" i="8" s="1"/>
  <c r="K24" i="15"/>
  <c r="L24" i="15" s="1"/>
  <c r="K30" i="8"/>
  <c r="G30" i="8" s="1"/>
  <c r="I30" i="8" s="1"/>
  <c r="K24" i="8"/>
  <c r="G24" i="8" s="1"/>
  <c r="I24" i="8" s="1"/>
  <c r="K33" i="8"/>
  <c r="G33" i="8" s="1"/>
  <c r="I33" i="8" s="1"/>
  <c r="AB22" i="1"/>
  <c r="I37" i="9" s="1"/>
  <c r="M35" i="8"/>
  <c r="K38" i="8"/>
  <c r="G38" i="8" s="1"/>
  <c r="I38" i="8" s="1"/>
  <c r="AB13" i="1"/>
  <c r="I28" i="9" s="1"/>
  <c r="J28" i="9" s="1"/>
  <c r="J35" i="9"/>
  <c r="I25" i="3"/>
  <c r="I32" i="8"/>
  <c r="I30" i="3"/>
  <c r="K30" i="3" s="1"/>
  <c r="I37" i="8"/>
  <c r="I21" i="3"/>
  <c r="I28" i="8"/>
  <c r="K23" i="8"/>
  <c r="G23" i="8" s="1"/>
  <c r="O23" i="8"/>
  <c r="K16" i="15"/>
  <c r="L16" i="15" s="1"/>
  <c r="J25" i="9"/>
  <c r="K26" i="8"/>
  <c r="G26" i="8" s="1"/>
  <c r="O26" i="8"/>
  <c r="O27" i="8"/>
  <c r="K27" i="8"/>
  <c r="G27" i="8" s="1"/>
  <c r="K20" i="15"/>
  <c r="L20" i="15" s="1"/>
  <c r="J29" i="9"/>
  <c r="I18" i="3"/>
  <c r="I25" i="8"/>
  <c r="J38" i="9"/>
  <c r="K29" i="15"/>
  <c r="L29" i="15" s="1"/>
  <c r="L22" i="8" l="1"/>
  <c r="K22" i="8" s="1"/>
  <c r="G22" i="8" s="1"/>
  <c r="I22" i="8" s="1"/>
  <c r="O36" i="8"/>
  <c r="I26" i="3"/>
  <c r="K26" i="3" s="1"/>
  <c r="T28" i="14" s="1"/>
  <c r="I23" i="3"/>
  <c r="K23" i="3" s="1"/>
  <c r="T25" i="14" s="1"/>
  <c r="I34" i="8"/>
  <c r="I27" i="3"/>
  <c r="R29" i="14" s="1"/>
  <c r="I22" i="3"/>
  <c r="K22" i="3" s="1"/>
  <c r="T24" i="14" s="1"/>
  <c r="I29" i="8"/>
  <c r="I31" i="3"/>
  <c r="K31" i="3" s="1"/>
  <c r="T31" i="14" s="1"/>
  <c r="I24" i="3"/>
  <c r="R26" i="14" s="1"/>
  <c r="I17" i="3"/>
  <c r="R19" i="14" s="1"/>
  <c r="K28" i="15"/>
  <c r="L28" i="15" s="1"/>
  <c r="J37" i="9"/>
  <c r="O35" i="8"/>
  <c r="K35" i="8"/>
  <c r="G35" i="8" s="1"/>
  <c r="K19" i="15"/>
  <c r="L19" i="15" s="1"/>
  <c r="I20" i="3"/>
  <c r="I27" i="8"/>
  <c r="I16" i="3"/>
  <c r="I23" i="8"/>
  <c r="R25" i="14"/>
  <c r="R27" i="14"/>
  <c r="K25" i="3"/>
  <c r="T27" i="14" s="1"/>
  <c r="R28" i="14"/>
  <c r="K21" i="3"/>
  <c r="T23" i="14" s="1"/>
  <c r="R23" i="14"/>
  <c r="K18" i="3"/>
  <c r="T20" i="14" s="1"/>
  <c r="R20" i="14"/>
  <c r="I36" i="8"/>
  <c r="I29" i="3"/>
  <c r="I26" i="8"/>
  <c r="I19" i="3"/>
  <c r="I39" i="8" l="1"/>
  <c r="H3" i="11" s="1"/>
  <c r="I15" i="3"/>
  <c r="K17" i="3"/>
  <c r="T19" i="14" s="1"/>
  <c r="K24" i="3"/>
  <c r="T26" i="14" s="1"/>
  <c r="K27" i="3"/>
  <c r="T29" i="14" s="1"/>
  <c r="R24" i="14"/>
  <c r="R31" i="14"/>
  <c r="I28" i="3"/>
  <c r="K28" i="3" s="1"/>
  <c r="I35" i="8"/>
  <c r="K20" i="3"/>
  <c r="T22" i="14" s="1"/>
  <c r="R22" i="14"/>
  <c r="K16" i="3"/>
  <c r="T18" i="14" s="1"/>
  <c r="R18" i="14"/>
  <c r="K29" i="3"/>
  <c r="T30" i="14" s="1"/>
  <c r="R30" i="14"/>
  <c r="K19" i="3"/>
  <c r="T21" i="14" s="1"/>
  <c r="R21" i="14"/>
  <c r="K15" i="3" l="1"/>
  <c r="T17" i="14" s="1"/>
  <c r="R17" i="14"/>
  <c r="K32" i="3"/>
  <c r="K33" i="3" s="1"/>
  <c r="K34" i="3" l="1"/>
  <c r="K36" i="3"/>
  <c r="K3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00000000-0006-0000-0200-000001000000}">
      <text>
        <r>
          <rPr>
            <b/>
            <sz val="11"/>
            <color indexed="81"/>
            <rFont val="Tahoma"/>
            <family val="2"/>
          </rPr>
          <t xml:space="preserve">STAINLESS STEEL
1 -5 mm  -    3sec
6 -10mm -    5sec
11-20mm -    7sec
21-30mm -  10sec
31-50mm -  15sec
51-75mm -  25sec
76-125mm -40sec
ALUMINIUM
 1  - 5mm  -  2sec
 6 - 10mm -  3sec
11 - 20mm -  5sec
21 - 30mm -  8sec
31 - 50mm -  12sec
51 - 75mm -  18sec
76 - 125mm -30sec
GLASS/GRANITE
4 to 10mm:-  8 sec
11 to 25mm-22 se </t>
        </r>
      </text>
    </comment>
  </commentList>
</comments>
</file>

<file path=xl/sharedStrings.xml><?xml version="1.0" encoding="utf-8"?>
<sst xmlns="http://schemas.openxmlformats.org/spreadsheetml/2006/main" count="397" uniqueCount="260">
  <si>
    <t>Rate per hr</t>
  </si>
  <si>
    <t>mm</t>
  </si>
  <si>
    <t>Material</t>
  </si>
  <si>
    <t>Rate per minute</t>
  </si>
  <si>
    <t>Idle time Set up Loading unloading Cost per hr</t>
  </si>
  <si>
    <t xml:space="preserve">Linear Cut Speed    mm/min </t>
  </si>
  <si>
    <t>Non cutting timeCost=Idle time Set up Loading unloading Cost per minute</t>
  </si>
  <si>
    <t>Rs</t>
  </si>
  <si>
    <t>Total No of piercing</t>
  </si>
  <si>
    <t>Lead in +Lead out length(mm)</t>
  </si>
  <si>
    <t>THICKNESS</t>
  </si>
  <si>
    <t xml:space="preserve"> Set up  Time (min)</t>
  </si>
  <si>
    <t>Job Perimeter length to Cut (mm)</t>
  </si>
  <si>
    <t>times</t>
  </si>
  <si>
    <t xml:space="preserve">Abrasive rate per Kg including transport and handling </t>
  </si>
  <si>
    <t>Multiplication factor for slowing down at curvatious and direction turning places on lead in and lead out length</t>
  </si>
  <si>
    <t>RESULT</t>
  </si>
  <si>
    <t>MATERIAL</t>
  </si>
  <si>
    <t>DRAWING REF:</t>
  </si>
  <si>
    <t>QTY</t>
  </si>
  <si>
    <t>TOTAL</t>
  </si>
  <si>
    <t>WATERJET CUTTING DESCRIPTION</t>
  </si>
  <si>
    <t>TOOL STEEL</t>
  </si>
  <si>
    <t>INCONEL</t>
  </si>
  <si>
    <t>STAINLESS STEEL</t>
  </si>
  <si>
    <t>NILO 36</t>
  </si>
  <si>
    <t>TITANIUM</t>
  </si>
  <si>
    <t>COPPER (and BRASS)</t>
  </si>
  <si>
    <t>BRONZE</t>
  </si>
  <si>
    <t>ALUMINIUM</t>
  </si>
  <si>
    <t>KEVLER LAMINATE</t>
  </si>
  <si>
    <t>GLASS</t>
  </si>
  <si>
    <t>kmtMARBLE (for Granite)</t>
  </si>
  <si>
    <t>kmtGRANITE (for Marble)</t>
  </si>
  <si>
    <t>PLEXI GLASS</t>
  </si>
  <si>
    <t>KMT matr selection</t>
  </si>
  <si>
    <t>Job Perimeter  to Cut (m)</t>
  </si>
  <si>
    <t>Sl.NO</t>
  </si>
  <si>
    <t>Drawing Ref.</t>
  </si>
  <si>
    <t>(kmt) Materl selected</t>
  </si>
  <si>
    <t xml:space="preserve">(kmt) Edge Quality </t>
  </si>
  <si>
    <t>SL.No</t>
  </si>
  <si>
    <t>Qty</t>
  </si>
  <si>
    <t>Set up Cost  for qty</t>
  </si>
  <si>
    <t xml:space="preserve">Set up Time  for qty (min) </t>
  </si>
  <si>
    <t>Job Time for qty (min)</t>
  </si>
  <si>
    <t>Each   JOB COST  in consideration</t>
  </si>
  <si>
    <t>Total  JOB COST  in consideration</t>
  </si>
  <si>
    <t>OFFER - WATER JET CUTTING SERVICES</t>
  </si>
  <si>
    <t>To</t>
  </si>
  <si>
    <t>Sir,</t>
  </si>
  <si>
    <t>We thank you for your valuable enquiry.  We are glad to submit our best rates for the same as detailed hereunder:</t>
  </si>
  <si>
    <t>Yours truly,</t>
  </si>
  <si>
    <t>Mobile: 093810 40006</t>
  </si>
  <si>
    <t>A  specialty  water jet  cutting  Job  shop</t>
  </si>
  <si>
    <t>e-mail:alindjet@gmail.com</t>
  </si>
  <si>
    <t>Sub:</t>
  </si>
  <si>
    <t xml:space="preserve">Ref: </t>
  </si>
  <si>
    <r>
      <t xml:space="preserve">39/146A,4th Lane, </t>
    </r>
    <r>
      <rPr>
        <b/>
        <sz val="14"/>
        <color indexed="63"/>
        <rFont val="Bell MT"/>
        <family val="1"/>
      </rPr>
      <t>1</t>
    </r>
    <r>
      <rPr>
        <b/>
        <sz val="10"/>
        <color indexed="63"/>
        <rFont val="Arial"/>
        <family val="2"/>
      </rPr>
      <t>st Main Road, Ambattur Industrial Estate, Chennai - 600 058.</t>
    </r>
  </si>
  <si>
    <t xml:space="preserve">Rate per meter   Rs.             </t>
  </si>
  <si>
    <t>TOTAL          Rs.</t>
  </si>
  <si>
    <t>TOTAL   Rs.</t>
  </si>
  <si>
    <r>
      <t xml:space="preserve">For </t>
    </r>
    <r>
      <rPr>
        <b/>
        <sz val="11"/>
        <color indexed="63"/>
        <rFont val="Arial"/>
        <family val="2"/>
      </rPr>
      <t>A L I N D</t>
    </r>
  </si>
  <si>
    <t>THICK    (mm)</t>
  </si>
  <si>
    <t>THICK   (mm)</t>
  </si>
  <si>
    <t>Kind Attn:</t>
  </si>
  <si>
    <t>Total Nodes (exploded object)</t>
  </si>
  <si>
    <t>JOB COST     Rs.</t>
  </si>
  <si>
    <t>For Total qty</t>
  </si>
  <si>
    <t xml:space="preserve">Details Per Job </t>
  </si>
  <si>
    <t>Cutting time  for qty  (min)</t>
  </si>
  <si>
    <t>39/146A,4thLane,Ist Main Road,</t>
  </si>
  <si>
    <t>Ambattur Ind.Estate,Chennai-600058.</t>
  </si>
  <si>
    <t>Date:</t>
  </si>
  <si>
    <t>Authorised Signatory</t>
  </si>
  <si>
    <t>Job Perimeter  R.mt</t>
  </si>
  <si>
    <t>Gross Total</t>
  </si>
  <si>
    <t>Total</t>
  </si>
  <si>
    <t>Piercing Time (min)</t>
  </si>
  <si>
    <t>Piercing time Cost per hr</t>
  </si>
  <si>
    <t xml:space="preserve">Total piercing and Cutting time Cost </t>
  </si>
  <si>
    <r>
      <t>Piercing time per no. (</t>
    </r>
    <r>
      <rPr>
        <b/>
        <sz val="14"/>
        <color indexed="8"/>
        <rFont val="Arial"/>
        <family val="2"/>
      </rPr>
      <t>sec</t>
    </r>
    <r>
      <rPr>
        <sz val="14"/>
        <color indexed="8"/>
        <rFont val="Arial"/>
        <family val="2"/>
      </rPr>
      <t>)</t>
    </r>
  </si>
  <si>
    <t>Rgh</t>
  </si>
  <si>
    <t>Rgh/Med</t>
  </si>
  <si>
    <t>Med</t>
  </si>
  <si>
    <t>Med/Smth</t>
  </si>
  <si>
    <t>Smth</t>
  </si>
  <si>
    <t>Smth/v.Smth</t>
  </si>
  <si>
    <t>V.Smth</t>
  </si>
  <si>
    <t>Your e-mail - dt.</t>
  </si>
  <si>
    <t>DRWING REF:</t>
  </si>
  <si>
    <t>Proforma-Job Work</t>
  </si>
  <si>
    <t>Job/Qty</t>
  </si>
  <si>
    <t>QTY/JOB</t>
  </si>
  <si>
    <t>Ctrl:</t>
  </si>
  <si>
    <t>Date:Ctrl:</t>
  </si>
  <si>
    <t>Job work Order no:</t>
  </si>
  <si>
    <t>GSTIN:33AACPR3479E1ZQ</t>
  </si>
  <si>
    <t>33AACPR3479E1ZQ</t>
  </si>
  <si>
    <t xml:space="preserve">GSTIN No:     33AACPR3479E1ZQ          </t>
  </si>
  <si>
    <t xml:space="preserve">PAN NO:        AACPR3479E           </t>
  </si>
  <si>
    <t>Customer GSTIN:</t>
  </si>
  <si>
    <t>Customer DC no&amp;dt:</t>
  </si>
  <si>
    <t>GSTIN:</t>
  </si>
  <si>
    <r>
      <t>1)</t>
    </r>
    <r>
      <rPr>
        <sz val="11"/>
        <color indexed="63"/>
        <rFont val="Arial"/>
        <family val="2"/>
      </rPr>
      <t>    The rates does not include material cost.</t>
    </r>
  </si>
  <si>
    <t xml:space="preserve">The above rates are for Job work only. 
</t>
  </si>
  <si>
    <t>Piercing time Cost per minute</t>
  </si>
  <si>
    <r>
      <t xml:space="preserve">Towards the </t>
    </r>
    <r>
      <rPr>
        <b/>
        <sz val="12"/>
        <color indexed="63"/>
        <rFont val="Arial"/>
        <family val="2"/>
      </rPr>
      <t>Job work</t>
    </r>
    <r>
      <rPr>
        <sz val="12"/>
        <color indexed="63"/>
        <rFont val="Arial"/>
        <family val="2"/>
      </rPr>
      <t xml:space="preserve"> as per the detail bellow:</t>
    </r>
  </si>
  <si>
    <t>This is a Computer Generated Invoice</t>
  </si>
  <si>
    <t>Services described and that all particulars are true and correct.</t>
  </si>
  <si>
    <t>for ALIND</t>
  </si>
  <si>
    <t xml:space="preserve">We declare that this invoice shows the actual price of the </t>
  </si>
  <si>
    <t>Branch&amp; IFS Code: Anna Nagar&amp; KVBL0001154</t>
  </si>
  <si>
    <t>Declaration</t>
  </si>
  <si>
    <t>Properitor's PAN    : AACPR3479E</t>
  </si>
  <si>
    <t>Bank Name              : KARUR VYSYA BANK</t>
  </si>
  <si>
    <t>Company's Bank Details</t>
  </si>
  <si>
    <t>Tax</t>
  </si>
  <si>
    <t>Amount</t>
  </si>
  <si>
    <t>Rate</t>
  </si>
  <si>
    <t xml:space="preserve">Total </t>
  </si>
  <si>
    <t>State Tax</t>
  </si>
  <si>
    <t>Central Tax</t>
  </si>
  <si>
    <t>Taxable Value</t>
  </si>
  <si>
    <t>HSN /SAC</t>
  </si>
  <si>
    <t>Rs. only</t>
  </si>
  <si>
    <t>E.&amp; O.E.</t>
  </si>
  <si>
    <t xml:space="preserve"> Rs. </t>
  </si>
  <si>
    <t>Rounded off</t>
  </si>
  <si>
    <t>Nos</t>
  </si>
  <si>
    <t>per</t>
  </si>
  <si>
    <t>Quantity</t>
  </si>
  <si>
    <t>HSN/SAC</t>
  </si>
  <si>
    <t>Description of Goods</t>
  </si>
  <si>
    <t>Sl No.</t>
  </si>
  <si>
    <t>Terms of Delivery</t>
  </si>
  <si>
    <t>State Name:Tamil Nadu,Code:33</t>
  </si>
  <si>
    <t>Destination</t>
  </si>
  <si>
    <t>Dispatch through</t>
  </si>
  <si>
    <t>GSTIN/UIN :</t>
  </si>
  <si>
    <t>Non metallic product waterjet cutting-(job work) 12%</t>
  </si>
  <si>
    <t>Delivery Note Date</t>
  </si>
  <si>
    <t>Dispatch Document No.</t>
  </si>
  <si>
    <t>Stone waterjet cutting-(jobwork) 12%</t>
  </si>
  <si>
    <t>Dated</t>
  </si>
  <si>
    <t>Buyer's Order No.</t>
  </si>
  <si>
    <t xml:space="preserve">BUYER </t>
  </si>
  <si>
    <t>Hard Board</t>
  </si>
  <si>
    <t>E-Mail : alindjet@gmail.com</t>
  </si>
  <si>
    <t>Other Reference(s)</t>
  </si>
  <si>
    <t>Supplier's Ref.</t>
  </si>
  <si>
    <t>State Name:Tamil Nadu</t>
  </si>
  <si>
    <t>Non metallic mineral product water Jet Cutting-(job work) 12%</t>
  </si>
  <si>
    <t>GSTIN/UIN : 33AACPR3479E1ZQ</t>
  </si>
  <si>
    <t>Mode/Terms of Payment</t>
  </si>
  <si>
    <t>Delivery Note</t>
  </si>
  <si>
    <t>Ambattur Industrial Estate,Chennai-58</t>
  </si>
  <si>
    <t>Basic Metal water Jet Cutting-(job work) 12%</t>
  </si>
  <si>
    <t>39/146A,4th Lane</t>
  </si>
  <si>
    <t>Invoice No.</t>
  </si>
  <si>
    <t>ALIND</t>
  </si>
  <si>
    <t>Tax Invoice</t>
  </si>
  <si>
    <t>Click here- Ctrl + :</t>
  </si>
  <si>
    <t>Here the Data has come from Job Proforma page</t>
  </si>
  <si>
    <t>A/c No.                     : 1154115000002729</t>
  </si>
  <si>
    <t>Discount%</t>
  </si>
  <si>
    <t>After Discount</t>
  </si>
  <si>
    <t>Enquired By:</t>
  </si>
  <si>
    <t>Name&amp; Address</t>
  </si>
  <si>
    <t>Phone:</t>
  </si>
  <si>
    <t>Mail ID:</t>
  </si>
  <si>
    <t>Earlier Rate</t>
  </si>
  <si>
    <t>(3700) 1.1     or           0.76 Nozle</t>
  </si>
  <si>
    <t>Grnt Rate g/min</t>
  </si>
  <si>
    <t>Mt.Rt</t>
  </si>
  <si>
    <t xml:space="preserve">Customer </t>
  </si>
  <si>
    <t>Kind Attn</t>
  </si>
  <si>
    <t>Ph no</t>
  </si>
  <si>
    <t>Mail ID</t>
  </si>
  <si>
    <t>Date</t>
  </si>
  <si>
    <t>GSTIN and PAN detail:</t>
  </si>
  <si>
    <t xml:space="preserve">Bank :            KVB,Anna Nagar,Chennai.        </t>
  </si>
  <si>
    <t>A/C Name:    ALIND</t>
  </si>
  <si>
    <t>Bank NEFT detail bellow:</t>
  </si>
  <si>
    <t>Quote Number</t>
  </si>
  <si>
    <t>TOTAL      Rs.</t>
  </si>
  <si>
    <t>QUOTATION-WATERJET CUTTING</t>
  </si>
  <si>
    <t>Quote from:</t>
  </si>
  <si>
    <t xml:space="preserve">#39/146A,4th Lane, 1st Main Road, </t>
  </si>
  <si>
    <t xml:space="preserve">Ambattur Industrial Estate, </t>
  </si>
  <si>
    <t>Chennai - 600 058.</t>
  </si>
  <si>
    <t>e-mail: alindjet@gmail.com</t>
  </si>
  <si>
    <t>Quote To:</t>
  </si>
  <si>
    <r>
      <t>A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L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I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N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D</t>
    </r>
  </si>
  <si>
    <r>
      <t>1)</t>
    </r>
    <r>
      <rPr>
        <sz val="12"/>
        <color indexed="63"/>
        <rFont val="Arial"/>
        <family val="2"/>
      </rPr>
      <t>     The rates does not include material cost.</t>
    </r>
  </si>
  <si>
    <r>
      <t>2)</t>
    </r>
    <r>
      <rPr>
        <sz val="12"/>
        <color indexed="63"/>
        <rFont val="Arial"/>
        <family val="2"/>
      </rPr>
      <t>     The rates offered are based on soft copy drawings mailed to us.</t>
    </r>
  </si>
  <si>
    <r>
      <t>3)</t>
    </r>
    <r>
      <rPr>
        <sz val="12"/>
        <color indexed="63"/>
        <rFont val="Arial"/>
        <family val="2"/>
      </rPr>
      <t>     Delivery and pick up are to the account of the Customer.</t>
    </r>
  </si>
  <si>
    <r>
      <t>4)</t>
    </r>
    <r>
      <rPr>
        <sz val="12"/>
        <color indexed="63"/>
        <rFont val="Arial"/>
        <family val="2"/>
      </rPr>
      <t>     Delivery time:As per order volume, to be discussed.</t>
    </r>
  </si>
  <si>
    <r>
      <t>5)</t>
    </r>
    <r>
      <rPr>
        <sz val="12"/>
        <color indexed="63"/>
        <rFont val="Arial"/>
        <family val="2"/>
      </rPr>
      <t>     Payment will be due prior to delivery.</t>
    </r>
  </si>
  <si>
    <r>
      <t xml:space="preserve">For </t>
    </r>
    <r>
      <rPr>
        <b/>
        <sz val="12"/>
        <color indexed="63"/>
        <rFont val="Arial"/>
        <family val="2"/>
      </rPr>
      <t>A L I N D</t>
    </r>
  </si>
  <si>
    <t xml:space="preserve">  </t>
  </si>
  <si>
    <t>Terms and Conditions:</t>
  </si>
  <si>
    <t>Ref:</t>
  </si>
  <si>
    <t>Please feel free to reach out to us at any time if you need further clarification or assistance.</t>
  </si>
  <si>
    <t>Thank you, and we eagerly anticipate for a continued partnership.</t>
  </si>
  <si>
    <t>SL No.</t>
  </si>
  <si>
    <t>Quotation – Water Jet Cutting--Reg.</t>
  </si>
  <si>
    <r>
      <t xml:space="preserve">For </t>
    </r>
    <r>
      <rPr>
        <b/>
        <sz val="14"/>
        <color indexed="8"/>
        <rFont val="Arial"/>
        <family val="2"/>
      </rPr>
      <t>ALIND</t>
    </r>
  </si>
  <si>
    <t>Scan to Pay</t>
  </si>
  <si>
    <t>Quote by:</t>
  </si>
  <si>
    <t>Office Phone:</t>
  </si>
  <si>
    <r>
      <rPr>
        <b/>
        <sz val="16"/>
        <color indexed="9"/>
        <rFont val="AR DESTINE"/>
      </rPr>
      <t>ALIND</t>
    </r>
    <r>
      <rPr>
        <b/>
        <sz val="16"/>
        <color indexed="9"/>
        <rFont val="Calibri"/>
        <family val="2"/>
      </rPr>
      <t xml:space="preserve"> - </t>
    </r>
    <r>
      <rPr>
        <sz val="16"/>
        <color indexed="9"/>
        <rFont val="Brush Script MT"/>
        <family val="4"/>
      </rPr>
      <t>where no material is too tough, and no job is too complex</t>
    </r>
  </si>
  <si>
    <t>Ph: 044-4206 0306</t>
  </si>
  <si>
    <t xml:space="preserve">  A  specialty  water jet  cutting  Job  shop</t>
  </si>
  <si>
    <t>Ph:044-42060306</t>
  </si>
  <si>
    <t xml:space="preserve">A/C NO:          1154115000002729 </t>
  </si>
  <si>
    <t>Quot Number</t>
  </si>
  <si>
    <t>upto 2024 Mar</t>
  </si>
  <si>
    <t>upto 2022 Mar</t>
  </si>
  <si>
    <t>Mb: 9381040006 / 9789031099</t>
  </si>
  <si>
    <t>2)    The rates offered are based on soft copy drawings mailed to us.</t>
  </si>
  <si>
    <t>3)    Delivery and pick up are to the account of the Customer.</t>
  </si>
  <si>
    <t>4)    Delivery time:As per order volume, to be discussed.</t>
  </si>
  <si>
    <t>5)    Payment will be due prior to delivery.</t>
  </si>
  <si>
    <t>1)     The rates does not include material cost.</t>
  </si>
  <si>
    <t>2)     The rates offered are based on soft copy drawings mailed to us.</t>
  </si>
  <si>
    <t>3)     Delivery and pick up are to the account of the Customer.</t>
  </si>
  <si>
    <t>4)     Delivery time:As per order volume, to be discussed.</t>
  </si>
  <si>
    <t>5)     Payment will be due prior to delivery.</t>
  </si>
  <si>
    <t>RRR</t>
  </si>
  <si>
    <t>Ravichandran</t>
  </si>
  <si>
    <t>Mb:9381040006</t>
  </si>
  <si>
    <t>R.R.Ravichandran</t>
  </si>
  <si>
    <t>Quote No:R-MoDa</t>
  </si>
  <si>
    <t>hr</t>
  </si>
  <si>
    <t>Idl</t>
  </si>
  <si>
    <t>Prs</t>
  </si>
  <si>
    <t>IFSC Code:    KVBL0001154</t>
  </si>
  <si>
    <t xml:space="preserve">GSTIN:33AACPR3479E1ZQ               GST : extra @18%              The above rates are for Job work only                </t>
  </si>
  <si>
    <r>
      <rPr>
        <b/>
        <sz val="11"/>
        <color indexed="8"/>
        <rFont val="Arial"/>
        <family val="2"/>
      </rPr>
      <t>GST</t>
    </r>
    <r>
      <rPr>
        <sz val="11"/>
        <color indexed="8"/>
        <rFont val="Arial"/>
        <family val="2"/>
      </rPr>
      <t xml:space="preserve"> : extra @18%</t>
    </r>
  </si>
  <si>
    <r>
      <t xml:space="preserve">SGST @ </t>
    </r>
    <r>
      <rPr>
        <b/>
        <sz val="14"/>
        <color indexed="60"/>
        <rFont val="Arial"/>
        <family val="2"/>
      </rPr>
      <t>9</t>
    </r>
    <r>
      <rPr>
        <sz val="14"/>
        <color indexed="8"/>
        <rFont val="Arial"/>
        <family val="2"/>
      </rPr>
      <t>%</t>
    </r>
  </si>
  <si>
    <r>
      <t xml:space="preserve">CGST @ </t>
    </r>
    <r>
      <rPr>
        <b/>
        <sz val="14"/>
        <color indexed="60"/>
        <rFont val="Arial"/>
        <family val="2"/>
      </rPr>
      <t>9</t>
    </r>
    <r>
      <rPr>
        <sz val="14"/>
        <color indexed="8"/>
        <rFont val="Arial"/>
        <family val="2"/>
      </rPr>
      <t>%</t>
    </r>
  </si>
  <si>
    <t>upto 2026 Mar</t>
  </si>
  <si>
    <t>R-MMDD</t>
  </si>
  <si>
    <t>Value</t>
  </si>
  <si>
    <t>Link</t>
  </si>
  <si>
    <t>OUT PUT</t>
  </si>
  <si>
    <t>CUSTOMER ADDRESS and CONTACT DETAILS</t>
  </si>
  <si>
    <t>Snd</t>
  </si>
  <si>
    <t>Round off</t>
  </si>
  <si>
    <t>CGST 9%</t>
  </si>
  <si>
    <t>SGST 9%</t>
  </si>
  <si>
    <t>Mr.</t>
  </si>
  <si>
    <t>Mail Date:</t>
  </si>
  <si>
    <t xml:space="preserve"> Mail ID: </t>
  </si>
  <si>
    <t>Company Name:</t>
  </si>
  <si>
    <t>Address:</t>
  </si>
  <si>
    <t>GST#</t>
  </si>
  <si>
    <t>Contact Person Name:</t>
  </si>
  <si>
    <t>Phone Numbers: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</si>
</sst>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0.000"/>
    <numFmt numFmtId="166" formatCode="0.0"/>
    <numFmt numFmtId="167" formatCode="[$-14009]dd/mm/yyyy;@"/>
  </numFmts>
  <fonts count="87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0"/>
      <color indexed="63"/>
      <name val="Arial"/>
      <family val="2"/>
    </font>
    <font>
      <b/>
      <sz val="14"/>
      <color indexed="63"/>
      <name val="Bell MT"/>
      <family val="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63"/>
      <name val="Arial"/>
      <family val="2"/>
    </font>
    <font>
      <b/>
      <sz val="11"/>
      <color indexed="63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u/>
      <sz val="12"/>
      <name val="Arial"/>
      <family val="2"/>
    </font>
    <font>
      <b/>
      <sz val="14"/>
      <color indexed="8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indexed="8"/>
      <name val="Arial"/>
      <family val="2"/>
    </font>
    <font>
      <sz val="12"/>
      <color indexed="63"/>
      <name val="Arial"/>
      <family val="2"/>
    </font>
    <font>
      <b/>
      <sz val="12"/>
      <color indexed="63"/>
      <name val="Arial"/>
      <family val="2"/>
    </font>
    <font>
      <sz val="16"/>
      <name val="Arial"/>
      <family val="2"/>
    </font>
    <font>
      <sz val="8"/>
      <name val="Calibri"/>
      <family val="2"/>
    </font>
    <font>
      <sz val="48"/>
      <color indexed="9"/>
      <name val="AR DESTINE"/>
    </font>
    <font>
      <sz val="12"/>
      <color indexed="9"/>
      <name val="AR DESTINE"/>
    </font>
    <font>
      <b/>
      <sz val="16"/>
      <color indexed="9"/>
      <name val="Calibri"/>
      <family val="2"/>
    </font>
    <font>
      <b/>
      <sz val="16"/>
      <color indexed="9"/>
      <name val="AR DESTINE"/>
    </font>
    <font>
      <b/>
      <sz val="14"/>
      <color indexed="60"/>
      <name val="Arial"/>
      <family val="2"/>
    </font>
    <font>
      <b/>
      <u/>
      <sz val="14"/>
      <name val="Arial"/>
      <family val="2"/>
    </font>
    <font>
      <u/>
      <sz val="14"/>
      <name val="Arial"/>
      <family val="2"/>
    </font>
    <font>
      <sz val="16"/>
      <color indexed="9"/>
      <name val="Brush Script MT"/>
      <family val="4"/>
    </font>
    <font>
      <b/>
      <sz val="11"/>
      <color indexed="9"/>
      <name val="Arial"/>
      <family val="2"/>
    </font>
    <font>
      <sz val="11"/>
      <name val="Calibri"/>
      <family val="2"/>
    </font>
    <font>
      <b/>
      <sz val="11"/>
      <color indexed="81"/>
      <name val="Tahoma"/>
      <family val="2"/>
    </font>
    <font>
      <u/>
      <sz val="11"/>
      <color theme="10"/>
      <name val="Calibri"/>
      <family val="2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1"/>
      <color theme="1"/>
      <name val="Arial"/>
      <family val="2"/>
    </font>
    <font>
      <sz val="11"/>
      <color theme="1"/>
      <name val="ItalicC"/>
    </font>
    <font>
      <sz val="11"/>
      <color theme="1"/>
      <name val="Jokerman"/>
      <family val="5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333333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Jokerman"/>
      <family val="5"/>
    </font>
    <font>
      <sz val="26"/>
      <color rgb="FFFFC000"/>
      <name val="Bauhaus 93"/>
      <family val="5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Arial"/>
      <family val="2"/>
    </font>
    <font>
      <sz val="16"/>
      <color theme="1"/>
      <name val="Arial"/>
      <family val="2"/>
    </font>
    <font>
      <sz val="16"/>
      <color rgb="FFC00000"/>
      <name val="Arial"/>
      <family val="2"/>
    </font>
    <font>
      <sz val="14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u/>
      <sz val="11"/>
      <color rgb="FF333333"/>
      <name val="Arial"/>
      <family val="2"/>
    </font>
    <font>
      <b/>
      <sz val="7"/>
      <color rgb="FF333333"/>
      <name val="Arial"/>
      <family val="2"/>
    </font>
    <font>
      <sz val="12"/>
      <color theme="0"/>
      <name val="Calibri"/>
      <family val="2"/>
      <scheme val="minor"/>
    </font>
    <font>
      <sz val="12"/>
      <color theme="1" tint="0.34998626667073579"/>
      <name val="Jokerman"/>
      <family val="5"/>
    </font>
    <font>
      <sz val="10"/>
      <color rgb="FF1D1B11"/>
      <name val="Arial"/>
      <family val="2"/>
    </font>
    <font>
      <sz val="48"/>
      <color theme="1"/>
      <name val="AR DESTINE"/>
    </font>
    <font>
      <b/>
      <sz val="12"/>
      <color theme="0"/>
      <name val="Calibri"/>
      <family val="2"/>
      <scheme val="minor"/>
    </font>
    <font>
      <sz val="48"/>
      <color theme="0"/>
      <name val="AR DESTINE"/>
    </font>
    <font>
      <b/>
      <sz val="9"/>
      <color rgb="FF333333"/>
      <name val="Arial"/>
      <family val="2"/>
    </font>
    <font>
      <b/>
      <sz val="11"/>
      <color theme="0"/>
      <name val="Algerian"/>
      <family val="5"/>
    </font>
    <font>
      <sz val="16"/>
      <color theme="1"/>
      <name val="Monotype Corsiva"/>
      <family val="4"/>
    </font>
    <font>
      <u/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Book Antiqua"/>
      <family val="1"/>
    </font>
    <font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9AD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C73AD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401B5B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5" fillId="0" borderId="0" applyNumberFormat="0" applyFill="0" applyBorder="0" applyAlignment="0" applyProtection="0">
      <alignment vertical="top"/>
      <protection locked="0"/>
    </xf>
  </cellStyleXfs>
  <cellXfs count="595">
    <xf numFmtId="0" fontId="0" fillId="0" borderId="0" xfId="0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8" fillId="0" borderId="0" xfId="0" applyFont="1" applyAlignment="1">
      <alignment horizontal="right"/>
    </xf>
    <xf numFmtId="0" fontId="39" fillId="0" borderId="0" xfId="0" applyFont="1"/>
    <xf numFmtId="0" fontId="40" fillId="0" borderId="0" xfId="0" applyFont="1"/>
    <xf numFmtId="0" fontId="6" fillId="0" borderId="1" xfId="1" applyFont="1" applyFill="1" applyBorder="1" applyAlignment="1" applyProtection="1">
      <alignment horizontal="center" vertical="center"/>
      <protection locked="0"/>
    </xf>
    <xf numFmtId="0" fontId="6" fillId="0" borderId="2" xfId="1" applyFont="1" applyFill="1" applyBorder="1" applyAlignment="1" applyProtection="1">
      <alignment horizontal="center" vertical="center"/>
      <protection locked="0"/>
    </xf>
    <xf numFmtId="1" fontId="7" fillId="0" borderId="2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" fontId="41" fillId="0" borderId="0" xfId="0" applyNumberFormat="1" applyFont="1" applyAlignment="1">
      <alignment horizontal="right" vertical="center"/>
    </xf>
    <xf numFmtId="0" fontId="39" fillId="0" borderId="0" xfId="0" applyFont="1" applyAlignment="1">
      <alignment horizontal="left" indent="5"/>
    </xf>
    <xf numFmtId="0" fontId="40" fillId="0" borderId="0" xfId="0" applyFont="1" applyAlignment="1">
      <alignment horizontal="left" indent="15"/>
    </xf>
    <xf numFmtId="0" fontId="39" fillId="0" borderId="0" xfId="0" applyFont="1" applyAlignment="1">
      <alignment horizontal="justify"/>
    </xf>
    <xf numFmtId="1" fontId="38" fillId="0" borderId="2" xfId="0" applyNumberFormat="1" applyFont="1" applyBorder="1" applyAlignment="1">
      <alignment horizontal="center" vertical="center" wrapText="1"/>
    </xf>
    <xf numFmtId="0" fontId="38" fillId="0" borderId="0" xfId="0" applyFont="1" applyAlignment="1">
      <alignment horizontal="right" vertical="top" wrapText="1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/>
    </xf>
    <xf numFmtId="0" fontId="42" fillId="0" borderId="0" xfId="0" applyFont="1"/>
    <xf numFmtId="0" fontId="4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4" fillId="2" borderId="3" xfId="0" applyFont="1" applyFill="1" applyBorder="1" applyAlignment="1" applyProtection="1">
      <alignment horizontal="center" vertical="center" wrapText="1"/>
      <protection locked="0"/>
    </xf>
    <xf numFmtId="0" fontId="44" fillId="0" borderId="0" xfId="0" applyFont="1" applyAlignment="1">
      <alignment vertical="center"/>
    </xf>
    <xf numFmtId="165" fontId="38" fillId="0" borderId="2" xfId="0" applyNumberFormat="1" applyFont="1" applyBorder="1" applyAlignment="1" applyProtection="1">
      <alignment horizontal="center" vertical="center" wrapText="1"/>
      <protection locked="0"/>
    </xf>
    <xf numFmtId="0" fontId="38" fillId="0" borderId="0" xfId="0" applyFont="1" applyAlignment="1">
      <alignment horizont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2" fontId="0" fillId="0" borderId="0" xfId="0" applyNumberFormat="1"/>
    <xf numFmtId="0" fontId="11" fillId="0" borderId="4" xfId="0" applyFont="1" applyBorder="1" applyAlignment="1">
      <alignment horizontal="left" vertical="top" wrapText="1"/>
    </xf>
    <xf numFmtId="0" fontId="44" fillId="0" borderId="0" xfId="0" applyFont="1"/>
    <xf numFmtId="0" fontId="44" fillId="0" borderId="5" xfId="0" applyFont="1" applyBorder="1"/>
    <xf numFmtId="0" fontId="44" fillId="0" borderId="4" xfId="0" applyFont="1" applyBorder="1"/>
    <xf numFmtId="0" fontId="44" fillId="0" borderId="4" xfId="0" applyFont="1" applyBorder="1" applyAlignment="1">
      <alignment horizontal="center"/>
    </xf>
    <xf numFmtId="0" fontId="45" fillId="0" borderId="2" xfId="0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46" fillId="0" borderId="0" xfId="0" applyFont="1"/>
    <xf numFmtId="0" fontId="47" fillId="0" borderId="6" xfId="0" applyFont="1" applyBorder="1"/>
    <xf numFmtId="0" fontId="44" fillId="0" borderId="7" xfId="0" applyFont="1" applyBorder="1"/>
    <xf numFmtId="0" fontId="45" fillId="0" borderId="2" xfId="0" applyFont="1" applyBorder="1" applyAlignment="1">
      <alignment horizontal="right" vertical="center" wrapText="1"/>
    </xf>
    <xf numFmtId="0" fontId="44" fillId="0" borderId="2" xfId="0" applyFont="1" applyBorder="1" applyAlignment="1">
      <alignment horizontal="center" vertical="center"/>
    </xf>
    <xf numFmtId="0" fontId="47" fillId="0" borderId="5" xfId="0" applyFont="1" applyBorder="1" applyAlignment="1">
      <alignment vertical="center"/>
    </xf>
    <xf numFmtId="0" fontId="38" fillId="0" borderId="0" xfId="0" applyFont="1" applyAlignment="1">
      <alignment vertical="center"/>
    </xf>
    <xf numFmtId="1" fontId="38" fillId="0" borderId="7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>
      <alignment horizontal="center"/>
    </xf>
    <xf numFmtId="0" fontId="38" fillId="0" borderId="2" xfId="0" applyFont="1" applyBorder="1" applyAlignment="1" applyProtection="1">
      <alignment horizontal="center" vertical="center" wrapText="1"/>
      <protection locked="0"/>
    </xf>
    <xf numFmtId="0" fontId="38" fillId="0" borderId="7" xfId="0" applyFont="1" applyBorder="1" applyAlignment="1" applyProtection="1">
      <alignment horizontal="center" vertical="center" wrapText="1"/>
      <protection locked="0"/>
    </xf>
    <xf numFmtId="0" fontId="47" fillId="0" borderId="4" xfId="0" applyFont="1" applyBorder="1" applyAlignment="1">
      <alignment horizontal="left" vertical="center"/>
    </xf>
    <xf numFmtId="0" fontId="47" fillId="0" borderId="5" xfId="0" applyFont="1" applyBorder="1"/>
    <xf numFmtId="0" fontId="47" fillId="0" borderId="0" xfId="0" applyFont="1"/>
    <xf numFmtId="0" fontId="44" fillId="0" borderId="8" xfId="0" applyFont="1" applyBorder="1"/>
    <xf numFmtId="0" fontId="38" fillId="0" borderId="9" xfId="0" applyFont="1" applyBorder="1" applyAlignment="1" applyProtection="1">
      <alignment horizontal="center" vertical="center" wrapText="1"/>
      <protection locked="0"/>
    </xf>
    <xf numFmtId="165" fontId="38" fillId="0" borderId="1" xfId="0" applyNumberFormat="1" applyFont="1" applyBorder="1" applyAlignment="1" applyProtection="1">
      <alignment horizontal="center" vertical="center" wrapText="1"/>
      <protection locked="0"/>
    </xf>
    <xf numFmtId="1" fontId="7" fillId="0" borderId="1" xfId="0" applyNumberFormat="1" applyFont="1" applyBorder="1" applyAlignment="1">
      <alignment horizontal="center" vertical="center"/>
    </xf>
    <xf numFmtId="1" fontId="38" fillId="0" borderId="1" xfId="0" applyNumberFormat="1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1" fontId="38" fillId="0" borderId="2" xfId="0" applyNumberFormat="1" applyFont="1" applyBorder="1" applyAlignment="1">
      <alignment horizontal="right" vertical="center"/>
    </xf>
    <xf numFmtId="0" fontId="38" fillId="0" borderId="10" xfId="0" applyFont="1" applyBorder="1"/>
    <xf numFmtId="0" fontId="38" fillId="0" borderId="11" xfId="0" applyFont="1" applyBorder="1"/>
    <xf numFmtId="0" fontId="38" fillId="0" borderId="12" xfId="0" applyFont="1" applyBorder="1"/>
    <xf numFmtId="0" fontId="44" fillId="0" borderId="12" xfId="0" applyFont="1" applyBorder="1"/>
    <xf numFmtId="0" fontId="44" fillId="0" borderId="13" xfId="0" applyFont="1" applyBorder="1"/>
    <xf numFmtId="0" fontId="48" fillId="0" borderId="0" xfId="0" applyFont="1"/>
    <xf numFmtId="0" fontId="48" fillId="0" borderId="0" xfId="0" applyFont="1" applyAlignment="1">
      <alignment vertical="center" wrapText="1"/>
    </xf>
    <xf numFmtId="0" fontId="49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50" fillId="0" borderId="0" xfId="0" applyFont="1"/>
    <xf numFmtId="0" fontId="41" fillId="3" borderId="2" xfId="0" applyFont="1" applyFill="1" applyBorder="1" applyAlignment="1">
      <alignment horizontal="center" wrapText="1"/>
    </xf>
    <xf numFmtId="0" fontId="46" fillId="0" borderId="2" xfId="0" applyFont="1" applyBorder="1" applyAlignment="1">
      <alignment horizontal="center" wrapText="1"/>
    </xf>
    <xf numFmtId="0" fontId="46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wrapText="1"/>
    </xf>
    <xf numFmtId="0" fontId="46" fillId="0" borderId="14" xfId="0" applyFont="1" applyBorder="1" applyAlignment="1">
      <alignment horizontal="center" wrapText="1"/>
    </xf>
    <xf numFmtId="0" fontId="46" fillId="0" borderId="15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wrapText="1"/>
    </xf>
    <xf numFmtId="0" fontId="38" fillId="0" borderId="1" xfId="0" applyFont="1" applyBorder="1" applyAlignment="1">
      <alignment horizontal="center" vertical="center"/>
    </xf>
    <xf numFmtId="1" fontId="38" fillId="0" borderId="1" xfId="0" applyNumberFormat="1" applyFont="1" applyBorder="1" applyAlignment="1">
      <alignment horizontal="right" vertical="center"/>
    </xf>
    <xf numFmtId="0" fontId="41" fillId="3" borderId="7" xfId="0" applyFont="1" applyFill="1" applyBorder="1" applyAlignment="1">
      <alignment horizontal="center" vertical="center" wrapText="1"/>
    </xf>
    <xf numFmtId="0" fontId="41" fillId="3" borderId="2" xfId="0" applyFont="1" applyFill="1" applyBorder="1" applyAlignment="1">
      <alignment horizontal="center" vertical="center" wrapText="1"/>
    </xf>
    <xf numFmtId="0" fontId="38" fillId="0" borderId="0" xfId="0" applyFont="1" applyAlignment="1">
      <alignment wrapText="1"/>
    </xf>
    <xf numFmtId="0" fontId="46" fillId="0" borderId="6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38" fillId="0" borderId="7" xfId="0" applyFont="1" applyBorder="1" applyAlignment="1">
      <alignment horizontal="right" vertical="center" wrapText="1"/>
    </xf>
    <xf numFmtId="0" fontId="19" fillId="4" borderId="16" xfId="0" applyFont="1" applyFill="1" applyBorder="1" applyAlignment="1">
      <alignment horizontal="left" vertical="center" wrapText="1"/>
    </xf>
    <xf numFmtId="0" fontId="41" fillId="0" borderId="0" xfId="0" applyFont="1" applyAlignment="1">
      <alignment vertical="top" wrapText="1"/>
    </xf>
    <xf numFmtId="0" fontId="51" fillId="0" borderId="0" xfId="0" applyFont="1" applyAlignment="1">
      <alignment horizontal="left" vertical="center" wrapText="1"/>
    </xf>
    <xf numFmtId="0" fontId="48" fillId="0" borderId="0" xfId="0" applyFont="1" applyAlignment="1">
      <alignment horizontal="center" vertical="center" wrapText="1"/>
    </xf>
    <xf numFmtId="1" fontId="49" fillId="0" borderId="0" xfId="0" applyNumberFormat="1" applyFont="1" applyAlignment="1">
      <alignment vertical="center"/>
    </xf>
    <xf numFmtId="0" fontId="48" fillId="0" borderId="0" xfId="0" applyFont="1" applyAlignment="1">
      <alignment wrapText="1"/>
    </xf>
    <xf numFmtId="2" fontId="48" fillId="0" borderId="0" xfId="0" applyNumberFormat="1" applyFont="1" applyAlignment="1">
      <alignment vertical="center"/>
    </xf>
    <xf numFmtId="2" fontId="49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 wrapText="1"/>
    </xf>
    <xf numFmtId="0" fontId="44" fillId="0" borderId="13" xfId="0" applyFont="1" applyBorder="1" applyAlignment="1">
      <alignment horizontal="right" vertical="center"/>
    </xf>
    <xf numFmtId="166" fontId="48" fillId="0" borderId="0" xfId="0" applyNumberFormat="1" applyFont="1" applyAlignment="1">
      <alignment horizontal="center" vertical="center"/>
    </xf>
    <xf numFmtId="2" fontId="48" fillId="0" borderId="0" xfId="0" applyNumberFormat="1" applyFont="1"/>
    <xf numFmtId="0" fontId="39" fillId="0" borderId="0" xfId="0" applyFont="1" applyAlignment="1">
      <alignment horizontal="left" vertical="top" wrapText="1"/>
    </xf>
    <xf numFmtId="0" fontId="45" fillId="0" borderId="6" xfId="0" applyFont="1" applyBorder="1" applyAlignment="1">
      <alignment horizontal="center" vertical="center" wrapText="1"/>
    </xf>
    <xf numFmtId="0" fontId="39" fillId="0" borderId="0" xfId="0" applyFont="1" applyAlignment="1">
      <alignment vertical="top" wrapText="1"/>
    </xf>
    <xf numFmtId="0" fontId="39" fillId="0" borderId="0" xfId="0" applyFont="1" applyAlignment="1">
      <alignment vertical="center" wrapText="1"/>
    </xf>
    <xf numFmtId="0" fontId="0" fillId="0" borderId="8" xfId="0" applyBorder="1"/>
    <xf numFmtId="0" fontId="0" fillId="0" borderId="13" xfId="0" applyBorder="1"/>
    <xf numFmtId="0" fontId="50" fillId="0" borderId="0" xfId="0" applyFont="1" applyAlignment="1">
      <alignment vertical="top"/>
    </xf>
    <xf numFmtId="0" fontId="50" fillId="0" borderId="5" xfId="0" applyFont="1" applyBorder="1" applyAlignment="1">
      <alignment vertical="top"/>
    </xf>
    <xf numFmtId="0" fontId="0" fillId="0" borderId="5" xfId="0" applyBorder="1"/>
    <xf numFmtId="0" fontId="52" fillId="0" borderId="12" xfId="0" applyFont="1" applyBorder="1"/>
    <xf numFmtId="0" fontId="52" fillId="0" borderId="0" xfId="0" applyFont="1"/>
    <xf numFmtId="0" fontId="0" fillId="0" borderId="12" xfId="0" applyBorder="1"/>
    <xf numFmtId="0" fontId="0" fillId="0" borderId="1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2" fontId="46" fillId="0" borderId="2" xfId="0" applyNumberFormat="1" applyFont="1" applyBorder="1"/>
    <xf numFmtId="0" fontId="46" fillId="0" borderId="2" xfId="0" applyFont="1" applyBorder="1"/>
    <xf numFmtId="2" fontId="0" fillId="0" borderId="2" xfId="0" applyNumberFormat="1" applyBorder="1"/>
    <xf numFmtId="10" fontId="0" fillId="0" borderId="2" xfId="0" applyNumberFormat="1" applyBorder="1"/>
    <xf numFmtId="0" fontId="0" fillId="5" borderId="2" xfId="0" applyFill="1" applyBorder="1" applyAlignment="1">
      <alignment horizontal="center"/>
    </xf>
    <xf numFmtId="0" fontId="0" fillId="0" borderId="15" xfId="0" applyBorder="1" applyAlignment="1">
      <alignment horizontal="right" vertical="top"/>
    </xf>
    <xf numFmtId="0" fontId="0" fillId="0" borderId="11" xfId="0" applyBorder="1" applyAlignment="1">
      <alignment vertical="top"/>
    </xf>
    <xf numFmtId="0" fontId="0" fillId="0" borderId="10" xfId="0" applyBorder="1" applyAlignment="1">
      <alignment horizontal="right" vertical="top"/>
    </xf>
    <xf numFmtId="0" fontId="0" fillId="0" borderId="2" xfId="0" applyBorder="1" applyAlignment="1">
      <alignment horizontal="center"/>
    </xf>
    <xf numFmtId="0" fontId="0" fillId="0" borderId="2" xfId="0" applyBorder="1"/>
    <xf numFmtId="0" fontId="46" fillId="0" borderId="2" xfId="0" applyFont="1" applyBorder="1" applyAlignment="1">
      <alignment horizontal="right"/>
    </xf>
    <xf numFmtId="0" fontId="0" fillId="0" borderId="17" xfId="0" applyBorder="1"/>
    <xf numFmtId="0" fontId="53" fillId="0" borderId="17" xfId="0" applyFon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7" xfId="0" applyBorder="1" applyAlignment="1">
      <alignment horizontal="center"/>
    </xf>
    <xf numFmtId="2" fontId="0" fillId="0" borderId="17" xfId="0" applyNumberFormat="1" applyBorder="1"/>
    <xf numFmtId="1" fontId="0" fillId="0" borderId="17" xfId="0" applyNumberFormat="1" applyBorder="1"/>
    <xf numFmtId="0" fontId="0" fillId="0" borderId="14" xfId="0" applyBorder="1" applyAlignment="1">
      <alignment horizontal="center"/>
    </xf>
    <xf numFmtId="2" fontId="0" fillId="0" borderId="14" xfId="0" applyNumberFormat="1" applyBorder="1"/>
    <xf numFmtId="1" fontId="0" fillId="0" borderId="14" xfId="0" applyNumberFormat="1" applyBorder="1"/>
    <xf numFmtId="0" fontId="0" fillId="0" borderId="14" xfId="0" applyBorder="1"/>
    <xf numFmtId="0" fontId="46" fillId="0" borderId="1" xfId="0" applyFont="1" applyBorder="1" applyAlignment="1">
      <alignment horizontal="center" vertical="top"/>
    </xf>
    <xf numFmtId="0" fontId="46" fillId="0" borderId="1" xfId="0" applyFont="1" applyBorder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0" fillId="0" borderId="15" xfId="0" applyBorder="1" applyAlignment="1">
      <alignment vertical="top"/>
    </xf>
    <xf numFmtId="0" fontId="0" fillId="0" borderId="10" xfId="0" applyBorder="1" applyAlignment="1">
      <alignment vertical="top"/>
    </xf>
    <xf numFmtId="0" fontId="46" fillId="0" borderId="2" xfId="0" applyFont="1" applyBorder="1" applyAlignment="1">
      <alignment horizontal="center" vertical="top"/>
    </xf>
    <xf numFmtId="0" fontId="54" fillId="0" borderId="5" xfId="0" applyFont="1" applyBorder="1"/>
    <xf numFmtId="0" fontId="54" fillId="0" borderId="0" xfId="0" applyFont="1"/>
    <xf numFmtId="0" fontId="55" fillId="0" borderId="0" xfId="0" applyFont="1" applyAlignment="1">
      <alignment vertical="center"/>
    </xf>
    <xf numFmtId="0" fontId="38" fillId="0" borderId="0" xfId="0" applyFont="1" applyAlignment="1">
      <alignment vertical="center" wrapText="1"/>
    </xf>
    <xf numFmtId="1" fontId="7" fillId="0" borderId="7" xfId="0" applyNumberFormat="1" applyFont="1" applyBorder="1" applyAlignment="1">
      <alignment horizontal="center" vertical="center"/>
    </xf>
    <xf numFmtId="0" fontId="38" fillId="0" borderId="2" xfId="0" applyFont="1" applyBorder="1" applyAlignment="1">
      <alignment vertical="center"/>
    </xf>
    <xf numFmtId="0" fontId="38" fillId="0" borderId="2" xfId="0" applyFont="1" applyBorder="1"/>
    <xf numFmtId="0" fontId="38" fillId="0" borderId="2" xfId="0" applyFont="1" applyBorder="1" applyAlignment="1">
      <alignment wrapText="1"/>
    </xf>
    <xf numFmtId="1" fontId="38" fillId="0" borderId="2" xfId="0" applyNumberFormat="1" applyFont="1" applyBorder="1"/>
    <xf numFmtId="0" fontId="56" fillId="0" borderId="0" xfId="0" applyFont="1" applyAlignment="1">
      <alignment horizontal="right" vertical="center"/>
    </xf>
    <xf numFmtId="1" fontId="18" fillId="6" borderId="16" xfId="0" applyNumberFormat="1" applyFont="1" applyFill="1" applyBorder="1" applyAlignment="1">
      <alignment horizontal="center" vertical="center" wrapText="1"/>
    </xf>
    <xf numFmtId="0" fontId="57" fillId="6" borderId="2" xfId="0" applyFont="1" applyFill="1" applyBorder="1" applyAlignment="1">
      <alignment horizontal="center" vertical="center" wrapText="1"/>
    </xf>
    <xf numFmtId="0" fontId="57" fillId="7" borderId="6" xfId="0" applyFont="1" applyFill="1" applyBorder="1" applyAlignment="1">
      <alignment horizontal="center" vertical="center" wrapText="1"/>
    </xf>
    <xf numFmtId="0" fontId="0" fillId="8" borderId="5" xfId="0" applyFill="1" applyBorder="1"/>
    <xf numFmtId="0" fontId="58" fillId="8" borderId="0" xfId="0" applyFont="1" applyFill="1"/>
    <xf numFmtId="0" fontId="0" fillId="8" borderId="0" xfId="0" applyFill="1"/>
    <xf numFmtId="0" fontId="0" fillId="8" borderId="12" xfId="0" applyFill="1" applyBorder="1"/>
    <xf numFmtId="0" fontId="59" fillId="8" borderId="13" xfId="0" applyFont="1" applyFill="1" applyBorder="1"/>
    <xf numFmtId="0" fontId="58" fillId="8" borderId="8" xfId="0" applyFont="1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58" fillId="8" borderId="11" xfId="0" applyFont="1" applyFill="1" applyBorder="1"/>
    <xf numFmtId="0" fontId="0" fillId="8" borderId="11" xfId="0" applyFill="1" applyBorder="1"/>
    <xf numFmtId="0" fontId="0" fillId="8" borderId="15" xfId="0" applyFill="1" applyBorder="1"/>
    <xf numFmtId="0" fontId="57" fillId="9" borderId="6" xfId="0" applyFont="1" applyFill="1" applyBorder="1" applyAlignment="1">
      <alignment horizontal="center" vertical="center" wrapText="1"/>
    </xf>
    <xf numFmtId="1" fontId="57" fillId="6" borderId="2" xfId="0" applyNumberFormat="1" applyFont="1" applyFill="1" applyBorder="1" applyAlignment="1">
      <alignment horizontal="center" vertical="center" wrapText="1"/>
    </xf>
    <xf numFmtId="1" fontId="17" fillId="6" borderId="2" xfId="0" applyNumberFormat="1" applyFont="1" applyFill="1" applyBorder="1" applyAlignment="1">
      <alignment horizontal="center" vertical="center" wrapText="1"/>
    </xf>
    <xf numFmtId="1" fontId="17" fillId="10" borderId="12" xfId="0" applyNumberFormat="1" applyFont="1" applyFill="1" applyBorder="1" applyAlignment="1">
      <alignment vertical="center" wrapText="1"/>
    </xf>
    <xf numFmtId="2" fontId="57" fillId="4" borderId="2" xfId="0" applyNumberFormat="1" applyFont="1" applyFill="1" applyBorder="1" applyAlignment="1">
      <alignment horizontal="center" vertical="center" wrapText="1"/>
    </xf>
    <xf numFmtId="2" fontId="57" fillId="4" borderId="7" xfId="0" applyNumberFormat="1" applyFont="1" applyFill="1" applyBorder="1" applyAlignment="1">
      <alignment horizontal="center" vertical="center" wrapText="1"/>
    </xf>
    <xf numFmtId="0" fontId="57" fillId="7" borderId="2" xfId="0" applyFont="1" applyFill="1" applyBorder="1" applyAlignment="1">
      <alignment horizontal="center" vertical="center" wrapText="1"/>
    </xf>
    <xf numFmtId="1" fontId="57" fillId="11" borderId="18" xfId="0" applyNumberFormat="1" applyFont="1" applyFill="1" applyBorder="1" applyAlignment="1">
      <alignment horizontal="center" vertical="center" wrapText="1"/>
    </xf>
    <xf numFmtId="1" fontId="57" fillId="11" borderId="1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2" xfId="0" applyNumberFormat="1" applyBorder="1"/>
    <xf numFmtId="0" fontId="37" fillId="0" borderId="0" xfId="0" applyFont="1" applyAlignment="1">
      <alignment horizontal="center" vertical="center"/>
    </xf>
    <xf numFmtId="1" fontId="38" fillId="0" borderId="7" xfId="0" applyNumberFormat="1" applyFont="1" applyBorder="1"/>
    <xf numFmtId="0" fontId="44" fillId="10" borderId="2" xfId="0" applyFont="1" applyFill="1" applyBorder="1" applyAlignment="1" applyProtection="1">
      <alignment horizontal="center" vertical="center" wrapText="1"/>
      <protection locked="0" hidden="1"/>
    </xf>
    <xf numFmtId="0" fontId="44" fillId="10" borderId="18" xfId="0" applyFont="1" applyFill="1" applyBorder="1" applyAlignment="1" applyProtection="1">
      <alignment horizontal="center" vertical="center" wrapText="1"/>
      <protection locked="0" hidden="1"/>
    </xf>
    <xf numFmtId="0" fontId="44" fillId="10" borderId="20" xfId="0" applyFont="1" applyFill="1" applyBorder="1" applyAlignment="1" applyProtection="1">
      <alignment horizontal="center" vertical="center" wrapText="1"/>
      <protection locked="0" hidden="1"/>
    </xf>
    <xf numFmtId="0" fontId="37" fillId="0" borderId="0" xfId="0" applyFont="1" applyAlignment="1">
      <alignment wrapText="1"/>
    </xf>
    <xf numFmtId="0" fontId="47" fillId="0" borderId="0" xfId="0" applyFont="1" applyAlignment="1">
      <alignment horizontal="left" indent="5"/>
    </xf>
    <xf numFmtId="0" fontId="44" fillId="0" borderId="0" xfId="0" applyFont="1" applyAlignment="1">
      <alignment wrapText="1"/>
    </xf>
    <xf numFmtId="0" fontId="11" fillId="0" borderId="0" xfId="0" applyFont="1" applyAlignment="1">
      <alignment horizontal="center" vertical="center" wrapText="1"/>
    </xf>
    <xf numFmtId="0" fontId="38" fillId="0" borderId="12" xfId="0" applyFont="1" applyBorder="1" applyAlignment="1">
      <alignment vertical="center"/>
    </xf>
    <xf numFmtId="0" fontId="60" fillId="12" borderId="21" xfId="0" applyFont="1" applyFill="1" applyBorder="1" applyAlignment="1">
      <alignment horizontal="center" vertical="center" wrapText="1"/>
    </xf>
    <xf numFmtId="1" fontId="44" fillId="0" borderId="22" xfId="0" applyNumberFormat="1" applyFont="1" applyBorder="1" applyAlignment="1">
      <alignment horizontal="right" vertical="center"/>
    </xf>
    <xf numFmtId="0" fontId="11" fillId="0" borderId="5" xfId="0" applyFont="1" applyBorder="1" applyAlignment="1">
      <alignment horizontal="center" vertical="center" wrapText="1"/>
    </xf>
    <xf numFmtId="1" fontId="10" fillId="0" borderId="23" xfId="0" applyNumberFormat="1" applyFont="1" applyBorder="1" applyAlignment="1">
      <alignment horizontal="right" vertical="center"/>
    </xf>
    <xf numFmtId="0" fontId="47" fillId="0" borderId="0" xfId="0" applyFont="1" applyAlignment="1">
      <alignment wrapText="1"/>
    </xf>
    <xf numFmtId="0" fontId="44" fillId="0" borderId="0" xfId="0" applyFont="1" applyAlignment="1">
      <alignment vertical="top"/>
    </xf>
    <xf numFmtId="0" fontId="0" fillId="0" borderId="0" xfId="0" applyAlignment="1">
      <alignment wrapText="1"/>
    </xf>
    <xf numFmtId="0" fontId="44" fillId="0" borderId="0" xfId="0" applyFont="1" applyAlignment="1">
      <alignment horizontal="right" vertical="center" wrapText="1"/>
    </xf>
    <xf numFmtId="0" fontId="47" fillId="0" borderId="0" xfId="0" applyFont="1" applyAlignment="1">
      <alignment horizontal="right" wrapText="1"/>
    </xf>
    <xf numFmtId="14" fontId="61" fillId="12" borderId="0" xfId="0" applyNumberFormat="1" applyFont="1" applyFill="1" applyAlignment="1">
      <alignment vertical="center"/>
    </xf>
    <xf numFmtId="0" fontId="57" fillId="0" borderId="0" xfId="0" applyFont="1" applyAlignment="1">
      <alignment horizontal="center" vertical="center"/>
    </xf>
    <xf numFmtId="0" fontId="44" fillId="10" borderId="17" xfId="0" applyFont="1" applyFill="1" applyBorder="1" applyAlignment="1" applyProtection="1">
      <alignment horizontal="center" vertical="center" wrapText="1"/>
      <protection locked="0" hidden="1"/>
    </xf>
    <xf numFmtId="0" fontId="44" fillId="10" borderId="24" xfId="0" applyFont="1" applyFill="1" applyBorder="1" applyAlignment="1" applyProtection="1">
      <alignment horizontal="center" vertical="center" wrapText="1"/>
      <protection locked="0" hidden="1"/>
    </xf>
    <xf numFmtId="1" fontId="18" fillId="6" borderId="25" xfId="0" applyNumberFormat="1" applyFont="1" applyFill="1" applyBorder="1" applyAlignment="1">
      <alignment horizontal="center" vertical="center" wrapText="1"/>
    </xf>
    <xf numFmtId="0" fontId="57" fillId="6" borderId="1" xfId="0" applyFont="1" applyFill="1" applyBorder="1" applyAlignment="1">
      <alignment horizontal="center" vertical="center" wrapText="1"/>
    </xf>
    <xf numFmtId="0" fontId="57" fillId="9" borderId="13" xfId="0" applyFont="1" applyFill="1" applyBorder="1" applyAlignment="1">
      <alignment horizontal="center" vertical="center" wrapText="1"/>
    </xf>
    <xf numFmtId="1" fontId="57" fillId="6" borderId="1" xfId="0" applyNumberFormat="1" applyFont="1" applyFill="1" applyBorder="1" applyAlignment="1">
      <alignment horizontal="center" vertical="center" wrapText="1"/>
    </xf>
    <xf numFmtId="1" fontId="17" fillId="6" borderId="5" xfId="0" applyNumberFormat="1" applyFont="1" applyFill="1" applyBorder="1" applyAlignment="1">
      <alignment horizontal="center" vertical="center" wrapText="1"/>
    </xf>
    <xf numFmtId="1" fontId="17" fillId="10" borderId="17" xfId="0" applyNumberFormat="1" applyFont="1" applyFill="1" applyBorder="1" applyAlignment="1">
      <alignment vertical="center" wrapText="1"/>
    </xf>
    <xf numFmtId="0" fontId="57" fillId="7" borderId="1" xfId="0" applyFont="1" applyFill="1" applyBorder="1" applyAlignment="1">
      <alignment horizontal="center" vertical="center" wrapText="1"/>
    </xf>
    <xf numFmtId="0" fontId="57" fillId="7" borderId="17" xfId="0" applyFont="1" applyFill="1" applyBorder="1" applyAlignment="1">
      <alignment horizontal="center" vertical="center" wrapText="1"/>
    </xf>
    <xf numFmtId="2" fontId="57" fillId="4" borderId="17" xfId="0" applyNumberFormat="1" applyFont="1" applyFill="1" applyBorder="1" applyAlignment="1">
      <alignment horizontal="center" vertical="center" wrapText="1"/>
    </xf>
    <xf numFmtId="1" fontId="57" fillId="11" borderId="24" xfId="0" applyNumberFormat="1" applyFont="1" applyFill="1" applyBorder="1" applyAlignment="1">
      <alignment horizontal="center" vertical="center" wrapText="1"/>
    </xf>
    <xf numFmtId="0" fontId="12" fillId="13" borderId="26" xfId="0" applyFont="1" applyFill="1" applyBorder="1" applyAlignment="1">
      <alignment horizontal="center" vertical="center" wrapText="1"/>
    </xf>
    <xf numFmtId="0" fontId="57" fillId="14" borderId="27" xfId="0" applyFont="1" applyFill="1" applyBorder="1" applyAlignment="1">
      <alignment horizontal="center" vertical="center" wrapText="1"/>
    </xf>
    <xf numFmtId="0" fontId="57" fillId="14" borderId="26" xfId="0" applyFont="1" applyFill="1" applyBorder="1" applyAlignment="1">
      <alignment horizontal="center" vertical="center"/>
    </xf>
    <xf numFmtId="0" fontId="57" fillId="15" borderId="27" xfId="0" applyFont="1" applyFill="1" applyBorder="1" applyAlignment="1">
      <alignment horizontal="center" vertical="center" wrapText="1"/>
    </xf>
    <xf numFmtId="0" fontId="57" fillId="14" borderId="26" xfId="0" applyFont="1" applyFill="1" applyBorder="1" applyAlignment="1">
      <alignment horizontal="center" vertical="center" wrapText="1"/>
    </xf>
    <xf numFmtId="0" fontId="62" fillId="10" borderId="27" xfId="0" applyFont="1" applyFill="1" applyBorder="1" applyAlignment="1">
      <alignment horizontal="center" vertical="center" wrapText="1"/>
    </xf>
    <xf numFmtId="0" fontId="57" fillId="16" borderId="26" xfId="0" applyFont="1" applyFill="1" applyBorder="1" applyAlignment="1">
      <alignment horizontal="center" vertical="center" wrapText="1"/>
    </xf>
    <xf numFmtId="0" fontId="57" fillId="17" borderId="28" xfId="0" applyFont="1" applyFill="1" applyBorder="1" applyAlignment="1">
      <alignment horizontal="center" vertical="center" wrapText="1"/>
    </xf>
    <xf numFmtId="0" fontId="12" fillId="18" borderId="29" xfId="0" applyFont="1" applyFill="1" applyBorder="1" applyAlignment="1">
      <alignment horizontal="center" vertical="center" wrapText="1"/>
    </xf>
    <xf numFmtId="0" fontId="57" fillId="0" borderId="5" xfId="0" applyFont="1" applyBorder="1" applyAlignment="1">
      <alignment vertical="center"/>
    </xf>
    <xf numFmtId="0" fontId="57" fillId="0" borderId="5" xfId="0" applyFont="1" applyBorder="1" applyAlignment="1">
      <alignment horizontal="right" vertical="center"/>
    </xf>
    <xf numFmtId="164" fontId="57" fillId="0" borderId="0" xfId="0" applyNumberFormat="1" applyFont="1" applyAlignment="1">
      <alignment vertical="center"/>
    </xf>
    <xf numFmtId="0" fontId="57" fillId="0" borderId="12" xfId="0" applyFont="1" applyBorder="1" applyAlignment="1">
      <alignment vertical="center"/>
    </xf>
    <xf numFmtId="0" fontId="63" fillId="0" borderId="2" xfId="0" applyFont="1" applyBorder="1" applyAlignment="1">
      <alignment horizontal="center" vertical="center" wrapText="1"/>
    </xf>
    <xf numFmtId="0" fontId="63" fillId="0" borderId="6" xfId="0" applyFont="1" applyBorder="1" applyAlignment="1">
      <alignment horizontal="center" vertical="center"/>
    </xf>
    <xf numFmtId="0" fontId="63" fillId="0" borderId="2" xfId="0" applyFont="1" applyBorder="1" applyAlignment="1">
      <alignment horizontal="right" vertical="center" wrapText="1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right" vertical="center" wrapText="1"/>
    </xf>
    <xf numFmtId="0" fontId="57" fillId="0" borderId="2" xfId="0" applyFont="1" applyBorder="1" applyAlignment="1" applyProtection="1">
      <alignment horizontal="center" vertical="center" wrapText="1"/>
      <protection locked="0"/>
    </xf>
    <xf numFmtId="1" fontId="18" fillId="0" borderId="2" xfId="0" applyNumberFormat="1" applyFont="1" applyBorder="1" applyAlignment="1">
      <alignment horizontal="center" vertical="center" wrapText="1"/>
    </xf>
    <xf numFmtId="2" fontId="18" fillId="0" borderId="2" xfId="0" applyNumberFormat="1" applyFont="1" applyBorder="1" applyAlignment="1">
      <alignment horizontal="right" vertical="center" wrapText="1"/>
    </xf>
    <xf numFmtId="2" fontId="57" fillId="0" borderId="14" xfId="0" applyNumberFormat="1" applyFont="1" applyBorder="1" applyAlignment="1">
      <alignment horizontal="right" vertical="center"/>
    </xf>
    <xf numFmtId="0" fontId="57" fillId="0" borderId="0" xfId="0" applyFont="1" applyAlignment="1">
      <alignment vertical="center"/>
    </xf>
    <xf numFmtId="2" fontId="57" fillId="0" borderId="17" xfId="0" applyNumberFormat="1" applyFont="1" applyBorder="1" applyAlignment="1">
      <alignment horizontal="right" vertical="center"/>
    </xf>
    <xf numFmtId="0" fontId="57" fillId="0" borderId="10" xfId="0" applyFont="1" applyBorder="1" applyAlignment="1">
      <alignment vertical="center"/>
    </xf>
    <xf numFmtId="0" fontId="57" fillId="0" borderId="11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49" fontId="17" fillId="0" borderId="0" xfId="0" applyNumberFormat="1" applyFont="1" applyAlignment="1">
      <alignment vertical="center"/>
    </xf>
    <xf numFmtId="0" fontId="30" fillId="0" borderId="0" xfId="0" applyFont="1" applyAlignment="1">
      <alignment vertical="center" wrapText="1"/>
    </xf>
    <xf numFmtId="0" fontId="17" fillId="0" borderId="12" xfId="0" applyFont="1" applyBorder="1"/>
    <xf numFmtId="49" fontId="17" fillId="0" borderId="0" xfId="0" applyNumberFormat="1" applyFont="1" applyAlignment="1">
      <alignment vertical="center" wrapText="1"/>
    </xf>
    <xf numFmtId="0" fontId="17" fillId="0" borderId="13" xfId="0" applyFont="1" applyBorder="1" applyAlignment="1">
      <alignment vertical="center"/>
    </xf>
    <xf numFmtId="0" fontId="17" fillId="0" borderId="8" xfId="0" applyFont="1" applyBorder="1" applyAlignment="1">
      <alignment vertical="center" wrapText="1"/>
    </xf>
    <xf numFmtId="49" fontId="17" fillId="0" borderId="5" xfId="0" applyNumberFormat="1" applyFont="1" applyBorder="1" applyAlignment="1">
      <alignment vertical="center"/>
    </xf>
    <xf numFmtId="0" fontId="17" fillId="0" borderId="12" xfId="0" applyFont="1" applyBorder="1" applyAlignment="1">
      <alignment vertical="center" wrapText="1"/>
    </xf>
    <xf numFmtId="0" fontId="30" fillId="0" borderId="12" xfId="0" applyFont="1" applyBorder="1" applyAlignment="1">
      <alignment vertical="center" wrapText="1"/>
    </xf>
    <xf numFmtId="49" fontId="17" fillId="0" borderId="13" xfId="0" applyNumberFormat="1" applyFont="1" applyBorder="1" applyAlignment="1">
      <alignment vertical="center" wrapText="1"/>
    </xf>
    <xf numFmtId="49" fontId="17" fillId="0" borderId="8" xfId="0" applyNumberFormat="1" applyFont="1" applyBorder="1" applyAlignment="1">
      <alignment vertical="center" wrapText="1"/>
    </xf>
    <xf numFmtId="0" fontId="57" fillId="0" borderId="9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12" xfId="0" applyFont="1" applyBorder="1" applyAlignment="1">
      <alignment vertical="center"/>
    </xf>
    <xf numFmtId="0" fontId="29" fillId="0" borderId="0" xfId="0" applyFont="1" applyAlignment="1">
      <alignment vertical="center" wrapText="1"/>
    </xf>
    <xf numFmtId="49" fontId="17" fillId="0" borderId="12" xfId="0" applyNumberFormat="1" applyFont="1" applyBorder="1" applyAlignment="1">
      <alignment vertical="center"/>
    </xf>
    <xf numFmtId="0" fontId="17" fillId="0" borderId="0" xfId="0" applyFont="1" applyAlignment="1">
      <alignment vertical="center" wrapText="1"/>
    </xf>
    <xf numFmtId="49" fontId="17" fillId="0" borderId="9" xfId="0" applyNumberFormat="1" applyFont="1" applyBorder="1" applyAlignment="1">
      <alignment vertical="center"/>
    </xf>
    <xf numFmtId="0" fontId="17" fillId="0" borderId="0" xfId="0" applyFont="1" applyAlignment="1">
      <alignment vertical="center"/>
    </xf>
    <xf numFmtId="0" fontId="48" fillId="16" borderId="0" xfId="0" applyFont="1" applyFill="1"/>
    <xf numFmtId="0" fontId="64" fillId="16" borderId="0" xfId="0" applyFont="1" applyFill="1" applyAlignment="1">
      <alignment horizontal="right"/>
    </xf>
    <xf numFmtId="0" fontId="0" fillId="16" borderId="0" xfId="0" applyFill="1"/>
    <xf numFmtId="0" fontId="44" fillId="0" borderId="13" xfId="0" applyFont="1" applyBorder="1" applyAlignment="1">
      <alignment horizontal="center" vertical="center"/>
    </xf>
    <xf numFmtId="0" fontId="44" fillId="0" borderId="30" xfId="0" applyFont="1" applyBorder="1" applyAlignment="1">
      <alignment vertical="center" wrapText="1"/>
    </xf>
    <xf numFmtId="0" fontId="44" fillId="0" borderId="8" xfId="0" applyFont="1" applyBorder="1" applyAlignment="1" applyProtection="1">
      <alignment horizontal="center" vertical="center"/>
      <protection locked="0"/>
    </xf>
    <xf numFmtId="0" fontId="11" fillId="0" borderId="31" xfId="1" applyFont="1" applyFill="1" applyBorder="1" applyAlignment="1" applyProtection="1">
      <alignment horizontal="center" vertical="center"/>
      <protection locked="0"/>
    </xf>
    <xf numFmtId="1" fontId="10" fillId="0" borderId="32" xfId="0" applyNumberFormat="1" applyFont="1" applyBorder="1" applyAlignment="1">
      <alignment horizontal="center" vertical="center"/>
    </xf>
    <xf numFmtId="1" fontId="11" fillId="0" borderId="32" xfId="0" applyNumberFormat="1" applyFont="1" applyBorder="1" applyAlignment="1">
      <alignment horizontal="center" vertical="center"/>
    </xf>
    <xf numFmtId="0" fontId="11" fillId="0" borderId="30" xfId="1" applyFont="1" applyFill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>
      <alignment vertical="center" wrapText="1"/>
    </xf>
    <xf numFmtId="0" fontId="44" fillId="0" borderId="33" xfId="0" applyFont="1" applyBorder="1" applyAlignment="1">
      <alignment horizontal="right" vertical="center" wrapText="1" shrinkToFit="1"/>
    </xf>
    <xf numFmtId="0" fontId="6" fillId="5" borderId="2" xfId="0" applyFont="1" applyFill="1" applyBorder="1" applyAlignment="1">
      <alignment horizontal="center" vertical="center"/>
    </xf>
    <xf numFmtId="0" fontId="57" fillId="0" borderId="6" xfId="0" applyFont="1" applyBorder="1" applyAlignment="1">
      <alignment horizontal="right" vertical="center"/>
    </xf>
    <xf numFmtId="0" fontId="57" fillId="0" borderId="6" xfId="0" applyFont="1" applyBorder="1" applyAlignment="1">
      <alignment vertical="center"/>
    </xf>
    <xf numFmtId="0" fontId="57" fillId="0" borderId="6" xfId="0" applyFont="1" applyBorder="1" applyAlignment="1">
      <alignment horizontal="center" vertical="center" wrapText="1"/>
    </xf>
    <xf numFmtId="0" fontId="46" fillId="0" borderId="14" xfId="0" applyFont="1" applyBorder="1" applyAlignment="1">
      <alignment vertical="center" wrapText="1"/>
    </xf>
    <xf numFmtId="165" fontId="17" fillId="0" borderId="2" xfId="0" applyNumberFormat="1" applyFont="1" applyBorder="1" applyAlignment="1">
      <alignment horizontal="center" vertical="center" wrapText="1"/>
    </xf>
    <xf numFmtId="1" fontId="17" fillId="0" borderId="2" xfId="0" applyNumberFormat="1" applyFont="1" applyBorder="1" applyAlignment="1">
      <alignment horizontal="center" vertical="center" wrapText="1"/>
    </xf>
    <xf numFmtId="2" fontId="17" fillId="0" borderId="2" xfId="0" applyNumberFormat="1" applyFont="1" applyBorder="1" applyAlignment="1">
      <alignment horizontal="right" vertical="center" wrapText="1"/>
    </xf>
    <xf numFmtId="0" fontId="46" fillId="19" borderId="2" xfId="0" applyFont="1" applyFill="1" applyBorder="1" applyAlignment="1">
      <alignment horizontal="center"/>
    </xf>
    <xf numFmtId="0" fontId="50" fillId="0" borderId="0" xfId="0" applyFont="1" applyAlignment="1">
      <alignment wrapText="1"/>
    </xf>
    <xf numFmtId="0" fontId="65" fillId="0" borderId="0" xfId="0" applyFont="1" applyAlignment="1">
      <alignment vertical="center" wrapText="1"/>
    </xf>
    <xf numFmtId="0" fontId="65" fillId="0" borderId="0" xfId="0" applyFont="1" applyAlignment="1">
      <alignment wrapText="1"/>
    </xf>
    <xf numFmtId="0" fontId="66" fillId="0" borderId="0" xfId="0" applyFont="1"/>
    <xf numFmtId="14" fontId="60" fillId="12" borderId="0" xfId="0" applyNumberFormat="1" applyFont="1" applyFill="1" applyAlignment="1">
      <alignment vertical="center" wrapText="1"/>
    </xf>
    <xf numFmtId="0" fontId="60" fillId="12" borderId="0" xfId="0" applyFont="1" applyFill="1" applyAlignment="1">
      <alignment horizontal="center" vertical="center"/>
    </xf>
    <xf numFmtId="0" fontId="60" fillId="12" borderId="34" xfId="0" applyFont="1" applyFill="1" applyBorder="1" applyAlignment="1">
      <alignment horizontal="center" wrapText="1"/>
    </xf>
    <xf numFmtId="0" fontId="60" fillId="12" borderId="21" xfId="0" applyFont="1" applyFill="1" applyBorder="1" applyAlignment="1">
      <alignment horizontal="center" wrapText="1"/>
    </xf>
    <xf numFmtId="0" fontId="60" fillId="12" borderId="35" xfId="0" applyFont="1" applyFill="1" applyBorder="1" applyAlignment="1">
      <alignment horizontal="center" wrapText="1"/>
    </xf>
    <xf numFmtId="0" fontId="32" fillId="12" borderId="5" xfId="0" applyFont="1" applyFill="1" applyBorder="1" applyAlignment="1">
      <alignment vertical="center" wrapText="1"/>
    </xf>
    <xf numFmtId="167" fontId="44" fillId="0" borderId="0" xfId="0" applyNumberFormat="1" applyFont="1" applyAlignment="1">
      <alignment horizontal="center" vertical="center"/>
    </xf>
    <xf numFmtId="1" fontId="33" fillId="0" borderId="0" xfId="0" applyNumberFormat="1" applyFont="1"/>
    <xf numFmtId="0" fontId="10" fillId="0" borderId="30" xfId="1" applyFont="1" applyFill="1" applyBorder="1" applyAlignment="1" applyProtection="1">
      <alignment horizontal="center" vertical="center" wrapText="1"/>
      <protection locked="0"/>
    </xf>
    <xf numFmtId="0" fontId="57" fillId="20" borderId="36" xfId="0" applyFont="1" applyFill="1" applyBorder="1" applyAlignment="1">
      <alignment horizontal="center" vertical="center" wrapText="1"/>
    </xf>
    <xf numFmtId="0" fontId="67" fillId="20" borderId="37" xfId="0" applyFont="1" applyFill="1" applyBorder="1" applyAlignment="1">
      <alignment horizontal="center" vertical="center" wrapText="1"/>
    </xf>
    <xf numFmtId="0" fontId="57" fillId="20" borderId="26" xfId="0" applyFont="1" applyFill="1" applyBorder="1" applyAlignment="1">
      <alignment horizontal="center" vertical="center" wrapText="1"/>
    </xf>
    <xf numFmtId="0" fontId="12" fillId="20" borderId="26" xfId="0" applyFont="1" applyFill="1" applyBorder="1" applyAlignment="1">
      <alignment horizontal="center" vertical="center" wrapText="1"/>
    </xf>
    <xf numFmtId="0" fontId="12" fillId="20" borderId="27" xfId="0" applyFont="1" applyFill="1" applyBorder="1" applyAlignment="1">
      <alignment horizontal="center" vertical="center" wrapText="1"/>
    </xf>
    <xf numFmtId="0" fontId="12" fillId="20" borderId="37" xfId="0" applyFont="1" applyFill="1" applyBorder="1" applyAlignment="1">
      <alignment horizontal="center" vertical="center" wrapText="1"/>
    </xf>
    <xf numFmtId="0" fontId="12" fillId="20" borderId="29" xfId="0" applyFont="1" applyFill="1" applyBorder="1" applyAlignment="1">
      <alignment horizontal="center" vertical="center" wrapText="1"/>
    </xf>
    <xf numFmtId="0" fontId="57" fillId="21" borderId="25" xfId="0" applyFont="1" applyFill="1" applyBorder="1" applyAlignment="1">
      <alignment horizontal="center" vertical="center"/>
    </xf>
    <xf numFmtId="0" fontId="57" fillId="21" borderId="25" xfId="0" applyFont="1" applyFill="1" applyBorder="1" applyAlignment="1" applyProtection="1">
      <alignment horizontal="center" vertical="center" wrapText="1"/>
      <protection locked="0"/>
    </xf>
    <xf numFmtId="0" fontId="57" fillId="21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1" applyFont="1" applyFill="1" applyBorder="1" applyAlignment="1" applyProtection="1">
      <alignment horizontal="center" vertical="center" wrapText="1"/>
      <protection locked="0"/>
    </xf>
    <xf numFmtId="0" fontId="67" fillId="21" borderId="1" xfId="0" applyFont="1" applyFill="1" applyBorder="1" applyAlignment="1" applyProtection="1">
      <alignment horizontal="center" vertical="center" wrapText="1"/>
      <protection locked="0"/>
    </xf>
    <xf numFmtId="0" fontId="67" fillId="21" borderId="24" xfId="0" applyFont="1" applyFill="1" applyBorder="1" applyAlignment="1" applyProtection="1">
      <alignment horizontal="center" vertical="center" wrapText="1"/>
      <protection locked="0"/>
    </xf>
    <xf numFmtId="0" fontId="67" fillId="21" borderId="25" xfId="0" applyFont="1" applyFill="1" applyBorder="1" applyAlignment="1" applyProtection="1">
      <alignment horizontal="center" vertical="center" wrapText="1"/>
      <protection locked="0"/>
    </xf>
    <xf numFmtId="0" fontId="68" fillId="21" borderId="12" xfId="0" applyFont="1" applyFill="1" applyBorder="1" applyAlignment="1" applyProtection="1">
      <alignment horizontal="center" vertical="center" wrapText="1"/>
      <protection locked="0"/>
    </xf>
    <xf numFmtId="0" fontId="57" fillId="21" borderId="16" xfId="0" applyFont="1" applyFill="1" applyBorder="1" applyAlignment="1">
      <alignment horizontal="center" vertical="center"/>
    </xf>
    <xf numFmtId="0" fontId="57" fillId="21" borderId="2" xfId="0" applyFont="1" applyFill="1" applyBorder="1" applyAlignment="1" applyProtection="1">
      <alignment horizontal="center" vertical="center" wrapText="1"/>
      <protection locked="0"/>
    </xf>
    <xf numFmtId="0" fontId="22" fillId="21" borderId="2" xfId="1" applyFont="1" applyFill="1" applyBorder="1" applyAlignment="1" applyProtection="1">
      <alignment horizontal="center" vertical="center" wrapText="1"/>
      <protection locked="0"/>
    </xf>
    <xf numFmtId="0" fontId="22" fillId="21" borderId="7" xfId="1" applyFont="1" applyFill="1" applyBorder="1" applyAlignment="1" applyProtection="1">
      <alignment horizontal="center" vertical="center" wrapText="1"/>
      <protection locked="0"/>
    </xf>
    <xf numFmtId="0" fontId="67" fillId="21" borderId="7" xfId="0" applyFont="1" applyFill="1" applyBorder="1" applyAlignment="1" applyProtection="1">
      <alignment horizontal="center" vertical="center" wrapText="1"/>
      <protection locked="0"/>
    </xf>
    <xf numFmtId="0" fontId="67" fillId="21" borderId="19" xfId="0" applyFont="1" applyFill="1" applyBorder="1" applyAlignment="1" applyProtection="1">
      <alignment horizontal="center" vertical="center" wrapText="1"/>
      <protection locked="0"/>
    </xf>
    <xf numFmtId="0" fontId="67" fillId="21" borderId="16" xfId="0" applyFont="1" applyFill="1" applyBorder="1" applyAlignment="1" applyProtection="1">
      <alignment horizontal="center" vertical="center" wrapText="1"/>
      <protection locked="0"/>
    </xf>
    <xf numFmtId="0" fontId="68" fillId="21" borderId="7" xfId="0" applyFont="1" applyFill="1" applyBorder="1" applyAlignment="1" applyProtection="1">
      <alignment horizontal="center" vertical="center" wrapText="1"/>
      <protection locked="0"/>
    </xf>
    <xf numFmtId="0" fontId="67" fillId="21" borderId="4" xfId="0" applyFont="1" applyFill="1" applyBorder="1" applyAlignment="1" applyProtection="1">
      <alignment horizontal="center" vertical="center" wrapText="1"/>
      <protection locked="0"/>
    </xf>
    <xf numFmtId="0" fontId="57" fillId="21" borderId="6" xfId="0" applyFont="1" applyFill="1" applyBorder="1" applyAlignment="1" applyProtection="1">
      <alignment horizontal="center" vertical="center" wrapText="1"/>
      <protection locked="0"/>
    </xf>
    <xf numFmtId="0" fontId="67" fillId="21" borderId="6" xfId="0" applyFont="1" applyFill="1" applyBorder="1" applyAlignment="1" applyProtection="1">
      <alignment horizontal="center" vertical="center" wrapText="1"/>
      <protection locked="0"/>
    </xf>
    <xf numFmtId="0" fontId="57" fillId="21" borderId="38" xfId="0" applyFont="1" applyFill="1" applyBorder="1" applyAlignment="1" applyProtection="1">
      <alignment horizontal="center" vertical="center" wrapText="1"/>
      <protection locked="0"/>
    </xf>
    <xf numFmtId="0" fontId="68" fillId="21" borderId="4" xfId="0" applyFont="1" applyFill="1" applyBorder="1" applyAlignment="1" applyProtection="1">
      <alignment horizontal="center" vertical="center" wrapText="1"/>
      <protection locked="0"/>
    </xf>
    <xf numFmtId="0" fontId="57" fillId="21" borderId="39" xfId="0" applyFont="1" applyFill="1" applyBorder="1" applyAlignment="1">
      <alignment horizontal="center" vertical="center"/>
    </xf>
    <xf numFmtId="0" fontId="22" fillId="21" borderId="15" xfId="1" applyFont="1" applyFill="1" applyBorder="1" applyAlignment="1" applyProtection="1">
      <alignment horizontal="center" vertical="center" wrapText="1"/>
      <protection locked="0"/>
    </xf>
    <xf numFmtId="0" fontId="67" fillId="21" borderId="15" xfId="0" applyFont="1" applyFill="1" applyBorder="1" applyAlignment="1" applyProtection="1">
      <alignment horizontal="center" vertical="center" wrapText="1"/>
      <protection locked="0"/>
    </xf>
    <xf numFmtId="0" fontId="67" fillId="21" borderId="20" xfId="0" applyFont="1" applyFill="1" applyBorder="1" applyAlignment="1" applyProtection="1">
      <alignment horizontal="center" vertical="center" wrapText="1"/>
      <protection locked="0"/>
    </xf>
    <xf numFmtId="0" fontId="67" fillId="21" borderId="39" xfId="0" applyFont="1" applyFill="1" applyBorder="1" applyAlignment="1" applyProtection="1">
      <alignment horizontal="center" vertical="center" wrapText="1"/>
      <protection locked="0"/>
    </xf>
    <xf numFmtId="0" fontId="67" fillId="21" borderId="10" xfId="0" applyFont="1" applyFill="1" applyBorder="1" applyAlignment="1" applyProtection="1">
      <alignment horizontal="center" vertical="center" wrapText="1"/>
      <protection locked="0"/>
    </xf>
    <xf numFmtId="0" fontId="57" fillId="21" borderId="40" xfId="0" applyFont="1" applyFill="1" applyBorder="1" applyAlignment="1" applyProtection="1">
      <alignment horizontal="center" vertical="center" wrapText="1"/>
      <protection locked="0"/>
    </xf>
    <xf numFmtId="0" fontId="67" fillId="21" borderId="14" xfId="0" applyFont="1" applyFill="1" applyBorder="1" applyAlignment="1" applyProtection="1">
      <alignment horizontal="center" vertical="center" wrapText="1"/>
      <protection locked="0"/>
    </xf>
    <xf numFmtId="0" fontId="62" fillId="22" borderId="27" xfId="0" applyFont="1" applyFill="1" applyBorder="1" applyAlignment="1">
      <alignment horizontal="center" vertical="center" wrapText="1"/>
    </xf>
    <xf numFmtId="0" fontId="69" fillId="22" borderId="41" xfId="0" applyFont="1" applyFill="1" applyBorder="1" applyAlignment="1">
      <alignment vertical="center" textRotation="90" wrapText="1"/>
    </xf>
    <xf numFmtId="0" fontId="17" fillId="0" borderId="0" xfId="0" applyFont="1"/>
    <xf numFmtId="2" fontId="18" fillId="0" borderId="14" xfId="0" applyNumberFormat="1" applyFont="1" applyBorder="1" applyAlignment="1">
      <alignment horizontal="right" vertical="center" wrapText="1"/>
    </xf>
    <xf numFmtId="2" fontId="63" fillId="0" borderId="9" xfId="0" applyNumberFormat="1" applyFont="1" applyBorder="1" applyAlignment="1">
      <alignment horizontal="right" vertical="center"/>
    </xf>
    <xf numFmtId="2" fontId="63" fillId="0" borderId="1" xfId="0" applyNumberFormat="1" applyFont="1" applyBorder="1" applyAlignment="1">
      <alignment horizontal="right" vertical="center"/>
    </xf>
    <xf numFmtId="2" fontId="57" fillId="0" borderId="1" xfId="0" applyNumberFormat="1" applyFont="1" applyBorder="1" applyAlignment="1">
      <alignment horizontal="right" vertical="center"/>
    </xf>
    <xf numFmtId="165" fontId="17" fillId="0" borderId="14" xfId="0" applyNumberFormat="1" applyFont="1" applyBorder="1" applyAlignment="1">
      <alignment horizontal="center" vertical="center" wrapText="1"/>
    </xf>
    <xf numFmtId="1" fontId="17" fillId="0" borderId="14" xfId="0" applyNumberFormat="1" applyFont="1" applyBorder="1" applyAlignment="1">
      <alignment horizontal="center" vertical="center" wrapText="1"/>
    </xf>
    <xf numFmtId="2" fontId="17" fillId="0" borderId="14" xfId="0" applyNumberFormat="1" applyFont="1" applyBorder="1" applyAlignment="1">
      <alignment horizontal="right" vertical="center" wrapText="1"/>
    </xf>
    <xf numFmtId="0" fontId="38" fillId="0" borderId="0" xfId="0" applyFont="1" applyAlignment="1">
      <alignment horizontal="left"/>
    </xf>
    <xf numFmtId="0" fontId="41" fillId="0" borderId="0" xfId="0" applyFont="1"/>
    <xf numFmtId="0" fontId="7" fillId="12" borderId="0" xfId="0" applyFont="1" applyFill="1" applyAlignment="1">
      <alignment horizontal="left" vertical="center"/>
    </xf>
    <xf numFmtId="164" fontId="7" fillId="12" borderId="0" xfId="0" applyNumberFormat="1" applyFont="1" applyFill="1" applyAlignment="1">
      <alignment vertical="center"/>
    </xf>
    <xf numFmtId="0" fontId="0" fillId="20" borderId="6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0" fillId="0" borderId="13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63" fillId="21" borderId="10" xfId="0" applyFont="1" applyFill="1" applyBorder="1" applyAlignment="1">
      <alignment horizontal="right" vertical="center" wrapText="1"/>
    </xf>
    <xf numFmtId="0" fontId="63" fillId="21" borderId="11" xfId="0" applyFont="1" applyFill="1" applyBorder="1" applyAlignment="1">
      <alignment horizontal="right" vertical="center" wrapText="1"/>
    </xf>
    <xf numFmtId="0" fontId="63" fillId="21" borderId="6" xfId="0" applyFont="1" applyFill="1" applyBorder="1" applyAlignment="1">
      <alignment horizontal="right" vertical="center"/>
    </xf>
    <xf numFmtId="0" fontId="63" fillId="21" borderId="4" xfId="0" applyFont="1" applyFill="1" applyBorder="1" applyAlignment="1">
      <alignment horizontal="right" vertical="center"/>
    </xf>
    <xf numFmtId="0" fontId="63" fillId="21" borderId="7" xfId="0" applyFont="1" applyFill="1" applyBorder="1" applyAlignment="1">
      <alignment horizontal="right" vertical="center"/>
    </xf>
    <xf numFmtId="0" fontId="63" fillId="21" borderId="13" xfId="0" applyFont="1" applyFill="1" applyBorder="1" applyAlignment="1">
      <alignment horizontal="right" vertical="center"/>
    </xf>
    <xf numFmtId="0" fontId="63" fillId="21" borderId="8" xfId="0" applyFont="1" applyFill="1" applyBorder="1" applyAlignment="1">
      <alignment horizontal="right" vertical="center"/>
    </xf>
    <xf numFmtId="0" fontId="18" fillId="21" borderId="11" xfId="0" applyFont="1" applyFill="1" applyBorder="1" applyAlignment="1" applyProtection="1">
      <alignment vertical="top" wrapText="1"/>
      <protection locked="0"/>
    </xf>
    <xf numFmtId="0" fontId="18" fillId="21" borderId="15" xfId="0" applyFont="1" applyFill="1" applyBorder="1" applyAlignment="1" applyProtection="1">
      <alignment vertical="top" wrapText="1"/>
      <protection locked="0"/>
    </xf>
    <xf numFmtId="0" fontId="18" fillId="21" borderId="0" xfId="0" applyFont="1" applyFill="1" applyAlignment="1" applyProtection="1">
      <alignment vertical="top" wrapText="1"/>
      <protection locked="0"/>
    </xf>
    <xf numFmtId="0" fontId="18" fillId="21" borderId="12" xfId="0" applyFont="1" applyFill="1" applyBorder="1" applyAlignment="1" applyProtection="1">
      <alignment vertical="top" wrapText="1"/>
      <protection locked="0"/>
    </xf>
    <xf numFmtId="0" fontId="18" fillId="21" borderId="8" xfId="0" applyFont="1" applyFill="1" applyBorder="1" applyAlignment="1" applyProtection="1">
      <alignment vertical="top" wrapText="1"/>
      <protection locked="0"/>
    </xf>
    <xf numFmtId="0" fontId="18" fillId="21" borderId="9" xfId="0" applyFont="1" applyFill="1" applyBorder="1" applyAlignment="1" applyProtection="1">
      <alignment vertical="top" wrapText="1"/>
      <protection locked="0"/>
    </xf>
    <xf numFmtId="0" fontId="63" fillId="20" borderId="6" xfId="0" applyFont="1" applyFill="1" applyBorder="1" applyAlignment="1">
      <alignment horizontal="center" vertical="center"/>
    </xf>
    <xf numFmtId="0" fontId="63" fillId="20" borderId="4" xfId="0" applyFont="1" applyFill="1" applyBorder="1" applyAlignment="1">
      <alignment horizontal="center" vertical="center"/>
    </xf>
    <xf numFmtId="0" fontId="63" fillId="20" borderId="7" xfId="0" applyFont="1" applyFill="1" applyBorder="1" applyAlignment="1">
      <alignment horizontal="center" vertical="center"/>
    </xf>
    <xf numFmtId="0" fontId="70" fillId="20" borderId="10" xfId="0" applyFont="1" applyFill="1" applyBorder="1" applyAlignment="1">
      <alignment horizontal="center" vertical="center" wrapText="1"/>
    </xf>
    <xf numFmtId="0" fontId="70" fillId="20" borderId="15" xfId="0" applyFont="1" applyFill="1" applyBorder="1" applyAlignment="1">
      <alignment horizontal="center" vertical="center" wrapText="1"/>
    </xf>
    <xf numFmtId="0" fontId="63" fillId="21" borderId="10" xfId="0" applyFont="1" applyFill="1" applyBorder="1" applyAlignment="1">
      <alignment horizontal="center" vertical="center" wrapText="1"/>
    </xf>
    <xf numFmtId="0" fontId="63" fillId="21" borderId="15" xfId="0" applyFont="1" applyFill="1" applyBorder="1" applyAlignment="1">
      <alignment horizontal="center" vertical="center" wrapText="1"/>
    </xf>
    <xf numFmtId="0" fontId="63" fillId="21" borderId="5" xfId="0" applyFont="1" applyFill="1" applyBorder="1" applyAlignment="1">
      <alignment horizontal="center" vertical="center" wrapText="1"/>
    </xf>
    <xf numFmtId="0" fontId="63" fillId="21" borderId="12" xfId="0" applyFont="1" applyFill="1" applyBorder="1" applyAlignment="1">
      <alignment horizontal="center" vertical="center" wrapText="1"/>
    </xf>
    <xf numFmtId="0" fontId="63" fillId="21" borderId="13" xfId="0" applyFont="1" applyFill="1" applyBorder="1" applyAlignment="1">
      <alignment horizontal="center" vertical="center" wrapText="1"/>
    </xf>
    <xf numFmtId="0" fontId="63" fillId="21" borderId="9" xfId="0" applyFont="1" applyFill="1" applyBorder="1" applyAlignment="1">
      <alignment horizontal="center" vertical="center" wrapText="1"/>
    </xf>
    <xf numFmtId="0" fontId="69" fillId="22" borderId="42" xfId="0" applyFont="1" applyFill="1" applyBorder="1" applyAlignment="1">
      <alignment horizontal="center" vertical="center" textRotation="90"/>
    </xf>
    <xf numFmtId="0" fontId="46" fillId="0" borderId="4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43" xfId="0" applyFont="1" applyBorder="1" applyAlignment="1">
      <alignment horizontal="center" vertical="center" wrapText="1"/>
    </xf>
    <xf numFmtId="0" fontId="46" fillId="0" borderId="41" xfId="0" applyFont="1" applyBorder="1" applyAlignment="1">
      <alignment horizontal="center" vertical="center" wrapText="1"/>
    </xf>
    <xf numFmtId="0" fontId="18" fillId="21" borderId="6" xfId="0" applyFont="1" applyFill="1" applyBorder="1" applyAlignment="1" applyProtection="1">
      <alignment horizontal="left" vertical="center" wrapText="1"/>
      <protection locked="0"/>
    </xf>
    <xf numFmtId="0" fontId="18" fillId="21" borderId="4" xfId="0" applyFont="1" applyFill="1" applyBorder="1" applyAlignment="1" applyProtection="1">
      <alignment horizontal="left" vertical="center" wrapText="1"/>
      <protection locked="0"/>
    </xf>
    <xf numFmtId="0" fontId="18" fillId="21" borderId="7" xfId="0" applyFont="1" applyFill="1" applyBorder="1" applyAlignment="1" applyProtection="1">
      <alignment horizontal="left" vertical="center" wrapText="1"/>
      <protection locked="0"/>
    </xf>
    <xf numFmtId="0" fontId="18" fillId="21" borderId="6" xfId="0" applyFont="1" applyFill="1" applyBorder="1" applyAlignment="1" applyProtection="1">
      <alignment horizontal="left" wrapText="1"/>
      <protection locked="0"/>
    </xf>
    <xf numFmtId="0" fontId="18" fillId="21" borderId="4" xfId="0" applyFont="1" applyFill="1" applyBorder="1" applyAlignment="1" applyProtection="1">
      <alignment horizontal="left" wrapText="1"/>
      <protection locked="0"/>
    </xf>
    <xf numFmtId="0" fontId="18" fillId="21" borderId="7" xfId="0" applyFont="1" applyFill="1" applyBorder="1" applyAlignment="1" applyProtection="1">
      <alignment horizontal="left" wrapText="1"/>
      <protection locked="0"/>
    </xf>
    <xf numFmtId="0" fontId="38" fillId="0" borderId="0" xfId="0" applyFont="1" applyAlignment="1">
      <alignment horizontal="left" vertical="top" wrapText="1"/>
    </xf>
    <xf numFmtId="0" fontId="38" fillId="0" borderId="10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13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4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" fontId="41" fillId="0" borderId="7" xfId="0" applyNumberFormat="1" applyFont="1" applyBorder="1" applyAlignment="1">
      <alignment horizontal="center" vertical="center"/>
    </xf>
    <xf numFmtId="1" fontId="41" fillId="0" borderId="2" xfId="0" applyNumberFormat="1" applyFont="1" applyBorder="1" applyAlignment="1">
      <alignment horizontal="center" vertical="center"/>
    </xf>
    <xf numFmtId="1" fontId="41" fillId="0" borderId="2" xfId="0" applyNumberFormat="1" applyFont="1" applyBorder="1" applyAlignment="1">
      <alignment horizontal="right" vertical="center"/>
    </xf>
    <xf numFmtId="0" fontId="41" fillId="0" borderId="2" xfId="0" applyFont="1" applyBorder="1" applyAlignment="1">
      <alignment horizontal="right" vertical="center"/>
    </xf>
    <xf numFmtId="0" fontId="73" fillId="16" borderId="0" xfId="0" applyFont="1" applyFill="1" applyAlignment="1">
      <alignment horizontal="center"/>
    </xf>
    <xf numFmtId="0" fontId="7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5" fillId="0" borderId="0" xfId="0" applyFont="1" applyAlignment="1">
      <alignment horizontal="right"/>
    </xf>
    <xf numFmtId="0" fontId="36" fillId="0" borderId="45" xfId="0" applyFont="1" applyBorder="1" applyAlignment="1">
      <alignment horizontal="left"/>
    </xf>
    <xf numFmtId="0" fontId="36" fillId="0" borderId="45" xfId="0" applyFont="1" applyBorder="1" applyAlignment="1">
      <alignment horizontal="right"/>
    </xf>
    <xf numFmtId="0" fontId="76" fillId="0" borderId="0" xfId="0" applyFont="1" applyAlignment="1">
      <alignment horizontal="center" vertical="top"/>
    </xf>
    <xf numFmtId="0" fontId="72" fillId="12" borderId="44" xfId="0" applyFont="1" applyFill="1" applyBorder="1" applyAlignment="1">
      <alignment horizontal="left" vertical="top"/>
    </xf>
    <xf numFmtId="167" fontId="44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top" wrapText="1"/>
    </xf>
    <xf numFmtId="0" fontId="71" fillId="0" borderId="0" xfId="0" applyFont="1" applyAlignment="1">
      <alignment horizontal="center"/>
    </xf>
    <xf numFmtId="0" fontId="26" fillId="16" borderId="0" xfId="0" applyFont="1" applyFill="1" applyAlignment="1">
      <alignment horizontal="center"/>
    </xf>
    <xf numFmtId="0" fontId="64" fillId="16" borderId="0" xfId="0" applyFont="1" applyFill="1" applyAlignment="1">
      <alignment horizontal="center"/>
    </xf>
    <xf numFmtId="0" fontId="60" fillId="12" borderId="0" xfId="0" applyFont="1" applyFill="1" applyAlignment="1">
      <alignment horizontal="left"/>
    </xf>
    <xf numFmtId="0" fontId="44" fillId="0" borderId="0" xfId="0" applyFont="1" applyAlignment="1">
      <alignment horizontal="left"/>
    </xf>
    <xf numFmtId="0" fontId="47" fillId="0" borderId="0" xfId="0" applyFont="1" applyAlignment="1">
      <alignment horizontal="left" wrapText="1"/>
    </xf>
    <xf numFmtId="1" fontId="10" fillId="0" borderId="0" xfId="0" applyNumberFormat="1" applyFont="1" applyAlignment="1">
      <alignment horizontal="right" vertical="center"/>
    </xf>
    <xf numFmtId="0" fontId="32" fillId="12" borderId="0" xfId="0" applyFont="1" applyFill="1" applyAlignment="1">
      <alignment horizontal="center" vertical="center" wrapText="1"/>
    </xf>
    <xf numFmtId="0" fontId="32" fillId="12" borderId="12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shrinkToFit="1"/>
    </xf>
    <xf numFmtId="0" fontId="47" fillId="0" borderId="0" xfId="0" applyFont="1" applyAlignment="1">
      <alignment horizontal="left"/>
    </xf>
    <xf numFmtId="0" fontId="15" fillId="0" borderId="0" xfId="0" applyFont="1" applyAlignment="1">
      <alignment horizontal="left" vertical="center" wrapText="1"/>
    </xf>
    <xf numFmtId="0" fontId="47" fillId="0" borderId="0" xfId="0" applyFont="1" applyAlignment="1">
      <alignment horizontal="left" vertical="center" wrapText="1"/>
    </xf>
    <xf numFmtId="0" fontId="47" fillId="0" borderId="0" xfId="0" applyFont="1" applyAlignment="1">
      <alignment horizontal="left" vertical="top" wrapText="1"/>
    </xf>
    <xf numFmtId="167" fontId="11" fillId="0" borderId="6" xfId="0" applyNumberFormat="1" applyFont="1" applyBorder="1" applyAlignment="1">
      <alignment horizontal="left" vertical="center"/>
    </xf>
    <xf numFmtId="167" fontId="11" fillId="0" borderId="4" xfId="0" applyNumberFormat="1" applyFont="1" applyBorder="1" applyAlignment="1">
      <alignment horizontal="left" vertical="center"/>
    </xf>
    <xf numFmtId="167" fontId="11" fillId="0" borderId="7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78" fillId="16" borderId="0" xfId="0" applyFont="1" applyFill="1" applyAlignment="1">
      <alignment horizontal="center" vertical="center"/>
    </xf>
    <xf numFmtId="0" fontId="79" fillId="0" borderId="0" xfId="0" applyFont="1" applyAlignment="1">
      <alignment horizontal="left" vertical="top"/>
    </xf>
    <xf numFmtId="164" fontId="60" fillId="12" borderId="0" xfId="0" applyNumberFormat="1" applyFont="1" applyFill="1" applyAlignment="1">
      <alignment horizontal="center" vertical="center"/>
    </xf>
    <xf numFmtId="164" fontId="47" fillId="0" borderId="0" xfId="0" applyNumberFormat="1" applyFont="1" applyAlignment="1">
      <alignment horizontal="center" vertical="center"/>
    </xf>
    <xf numFmtId="0" fontId="80" fillId="12" borderId="0" xfId="0" applyFont="1" applyFill="1" applyAlignment="1">
      <alignment horizontal="left"/>
    </xf>
    <xf numFmtId="0" fontId="38" fillId="0" borderId="6" xfId="0" applyFont="1" applyBorder="1" applyAlignment="1">
      <alignment horizontal="left" vertical="center"/>
    </xf>
    <xf numFmtId="0" fontId="38" fillId="0" borderId="4" xfId="0" applyFont="1" applyBorder="1" applyAlignment="1">
      <alignment horizontal="left" vertical="center"/>
    </xf>
    <xf numFmtId="0" fontId="38" fillId="0" borderId="7" xfId="0" applyFont="1" applyBorder="1" applyAlignment="1">
      <alignment horizontal="left" vertical="center"/>
    </xf>
    <xf numFmtId="0" fontId="51" fillId="12" borderId="0" xfId="1" applyNumberFormat="1" applyFont="1" applyFill="1" applyAlignment="1" applyProtection="1">
      <alignment horizontal="center"/>
    </xf>
    <xf numFmtId="0" fontId="77" fillId="12" borderId="0" xfId="0" applyFont="1" applyFill="1" applyAlignment="1">
      <alignment horizontal="center"/>
    </xf>
    <xf numFmtId="0" fontId="44" fillId="0" borderId="0" xfId="0" applyFont="1" applyAlignment="1">
      <alignment horizontal="left" vertical="top"/>
    </xf>
    <xf numFmtId="14" fontId="60" fillId="12" borderId="0" xfId="0" applyNumberFormat="1" applyFont="1" applyFill="1" applyAlignment="1">
      <alignment horizontal="left" vertical="center"/>
    </xf>
    <xf numFmtId="14" fontId="45" fillId="0" borderId="0" xfId="0" applyNumberFormat="1" applyFont="1" applyAlignment="1">
      <alignment horizontal="left" vertical="center"/>
    </xf>
    <xf numFmtId="14" fontId="44" fillId="0" borderId="0" xfId="0" applyNumberFormat="1" applyFont="1" applyAlignment="1">
      <alignment horizontal="left" vertical="center"/>
    </xf>
    <xf numFmtId="14" fontId="7" fillId="12" borderId="0" xfId="0" applyNumberFormat="1" applyFont="1" applyFill="1" applyAlignment="1">
      <alignment horizontal="left" vertical="center" wrapText="1"/>
    </xf>
    <xf numFmtId="0" fontId="38" fillId="0" borderId="10" xfId="0" applyFont="1" applyBorder="1" applyAlignment="1">
      <alignment horizontal="left" vertical="top"/>
    </xf>
    <xf numFmtId="0" fontId="38" fillId="0" borderId="11" xfId="0" applyFont="1" applyBorder="1" applyAlignment="1">
      <alignment horizontal="left" vertical="top"/>
    </xf>
    <xf numFmtId="0" fontId="38" fillId="0" borderId="15" xfId="0" applyFont="1" applyBorder="1" applyAlignment="1">
      <alignment horizontal="left" vertical="top"/>
    </xf>
    <xf numFmtId="0" fontId="38" fillId="0" borderId="5" xfId="0" applyFont="1" applyBorder="1" applyAlignment="1">
      <alignment horizontal="left" vertical="top"/>
    </xf>
    <xf numFmtId="0" fontId="38" fillId="0" borderId="0" xfId="0" applyFont="1" applyAlignment="1">
      <alignment horizontal="left" vertical="top"/>
    </xf>
    <xf numFmtId="0" fontId="38" fillId="0" borderId="12" xfId="0" applyFont="1" applyBorder="1" applyAlignment="1">
      <alignment horizontal="left" vertical="top"/>
    </xf>
    <xf numFmtId="0" fontId="38" fillId="0" borderId="13" xfId="0" applyFont="1" applyBorder="1" applyAlignment="1">
      <alignment horizontal="left" vertical="top"/>
    </xf>
    <xf numFmtId="0" fontId="38" fillId="0" borderId="8" xfId="0" applyFont="1" applyBorder="1" applyAlignment="1">
      <alignment horizontal="left" vertical="top"/>
    </xf>
    <xf numFmtId="0" fontId="38" fillId="0" borderId="9" xfId="0" applyFont="1" applyBorder="1" applyAlignment="1">
      <alignment horizontal="left" vertical="top"/>
    </xf>
    <xf numFmtId="0" fontId="48" fillId="0" borderId="0" xfId="0" applyFont="1" applyAlignment="1">
      <alignment horizontal="left" vertical="center" wrapText="1"/>
    </xf>
    <xf numFmtId="0" fontId="48" fillId="0" borderId="0" xfId="0" applyFont="1" applyAlignment="1">
      <alignment horizontal="center"/>
    </xf>
    <xf numFmtId="0" fontId="82" fillId="0" borderId="11" xfId="0" applyFont="1" applyBorder="1" applyAlignment="1">
      <alignment horizontal="center" vertical="center"/>
    </xf>
    <xf numFmtId="0" fontId="57" fillId="0" borderId="4" xfId="0" applyFont="1" applyBorder="1" applyAlignment="1">
      <alignment horizontal="left" vertical="center"/>
    </xf>
    <xf numFmtId="0" fontId="57" fillId="0" borderId="7" xfId="0" applyFont="1" applyBorder="1" applyAlignment="1">
      <alignment horizontal="left" vertical="center"/>
    </xf>
    <xf numFmtId="0" fontId="57" fillId="0" borderId="8" xfId="0" applyFont="1" applyBorder="1" applyAlignment="1">
      <alignment horizontal="right" vertical="center"/>
    </xf>
    <xf numFmtId="0" fontId="57" fillId="0" borderId="9" xfId="0" applyFont="1" applyBorder="1" applyAlignment="1">
      <alignment horizontal="right" vertical="center"/>
    </xf>
    <xf numFmtId="0" fontId="44" fillId="0" borderId="46" xfId="0" applyFont="1" applyBorder="1" applyAlignment="1">
      <alignment horizontal="center" vertical="center"/>
    </xf>
    <xf numFmtId="0" fontId="44" fillId="0" borderId="47" xfId="0" applyFont="1" applyBorder="1" applyAlignment="1">
      <alignment horizontal="center" vertical="center"/>
    </xf>
    <xf numFmtId="0" fontId="57" fillId="0" borderId="48" xfId="0" applyFont="1" applyBorder="1" applyAlignment="1">
      <alignment horizontal="left" vertical="center"/>
    </xf>
    <xf numFmtId="0" fontId="57" fillId="0" borderId="49" xfId="0" applyFont="1" applyBorder="1" applyAlignment="1">
      <alignment horizontal="left" vertical="center"/>
    </xf>
    <xf numFmtId="164" fontId="57" fillId="0" borderId="50" xfId="0" applyNumberFormat="1" applyFont="1" applyBorder="1" applyAlignment="1">
      <alignment horizontal="left" vertical="center"/>
    </xf>
    <xf numFmtId="0" fontId="57" fillId="0" borderId="51" xfId="0" applyFont="1" applyBorder="1" applyAlignment="1">
      <alignment horizontal="left" vertical="center"/>
    </xf>
    <xf numFmtId="0" fontId="57" fillId="0" borderId="52" xfId="0" applyFont="1" applyBorder="1" applyAlignment="1">
      <alignment horizontal="left" vertical="center"/>
    </xf>
    <xf numFmtId="0" fontId="57" fillId="0" borderId="10" xfId="0" applyFont="1" applyBorder="1" applyAlignment="1">
      <alignment horizontal="right" vertical="center"/>
    </xf>
    <xf numFmtId="0" fontId="57" fillId="0" borderId="11" xfId="0" applyFont="1" applyBorder="1" applyAlignment="1">
      <alignment horizontal="right" vertical="center"/>
    </xf>
    <xf numFmtId="0" fontId="17" fillId="0" borderId="6" xfId="1" applyFont="1" applyFill="1" applyBorder="1" applyAlignment="1" applyProtection="1">
      <alignment horizontal="left" vertical="center" wrapText="1"/>
      <protection locked="0"/>
    </xf>
    <xf numFmtId="0" fontId="17" fillId="0" borderId="7" xfId="1" applyFont="1" applyFill="1" applyBorder="1" applyAlignment="1" applyProtection="1">
      <alignment horizontal="left" vertical="center" wrapText="1"/>
      <protection locked="0"/>
    </xf>
    <xf numFmtId="0" fontId="57" fillId="0" borderId="5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81" fillId="0" borderId="5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47" fillId="0" borderId="12" xfId="0" applyFont="1" applyBorder="1" applyAlignment="1">
      <alignment horizontal="left" vertical="top" wrapText="1"/>
    </xf>
    <xf numFmtId="0" fontId="63" fillId="0" borderId="0" xfId="0" applyFont="1" applyAlignment="1">
      <alignment horizontal="center"/>
    </xf>
    <xf numFmtId="0" fontId="10" fillId="0" borderId="0" xfId="0" applyFont="1" applyAlignment="1">
      <alignment horizontal="left" vertical="top" wrapText="1"/>
    </xf>
    <xf numFmtId="0" fontId="10" fillId="0" borderId="12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63" fillId="0" borderId="6" xfId="0" applyFont="1" applyBorder="1" applyAlignment="1">
      <alignment horizontal="center" vertical="center" wrapText="1"/>
    </xf>
    <xf numFmtId="0" fontId="63" fillId="0" borderId="7" xfId="0" applyFont="1" applyBorder="1" applyAlignment="1">
      <alignment horizontal="center" vertical="center" wrapText="1"/>
    </xf>
    <xf numFmtId="0" fontId="63" fillId="0" borderId="6" xfId="0" applyFont="1" applyBorder="1" applyAlignment="1">
      <alignment horizontal="center" wrapText="1"/>
    </xf>
    <xf numFmtId="0" fontId="63" fillId="0" borderId="7" xfId="0" applyFont="1" applyBorder="1" applyAlignment="1">
      <alignment horizontal="center" wrapText="1"/>
    </xf>
    <xf numFmtId="0" fontId="63" fillId="0" borderId="6" xfId="0" applyFont="1" applyBorder="1" applyAlignment="1">
      <alignment horizontal="right" vertical="center"/>
    </xf>
    <xf numFmtId="0" fontId="63" fillId="0" borderId="7" xfId="0" applyFont="1" applyBorder="1" applyAlignment="1">
      <alignment horizontal="right" vertical="center"/>
    </xf>
    <xf numFmtId="49" fontId="11" fillId="0" borderId="0" xfId="0" applyNumberFormat="1" applyFont="1" applyAlignment="1">
      <alignment horizontal="left" vertical="center"/>
    </xf>
    <xf numFmtId="0" fontId="57" fillId="0" borderId="5" xfId="0" applyFont="1" applyBorder="1" applyAlignment="1">
      <alignment horizontal="right" vertical="center"/>
    </xf>
    <xf numFmtId="0" fontId="57" fillId="0" borderId="0" xfId="0" applyFont="1" applyAlignment="1">
      <alignment horizontal="right" vertical="center"/>
    </xf>
    <xf numFmtId="0" fontId="57" fillId="0" borderId="8" xfId="0" applyFont="1" applyBorder="1" applyAlignment="1">
      <alignment horizontal="center" vertical="center"/>
    </xf>
    <xf numFmtId="0" fontId="57" fillId="0" borderId="9" xfId="0" applyFont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57" fillId="0" borderId="12" xfId="0" applyFont="1" applyBorder="1" applyAlignment="1">
      <alignment horizontal="center" vertical="center"/>
    </xf>
    <xf numFmtId="0" fontId="57" fillId="0" borderId="13" xfId="0" applyFont="1" applyBorder="1" applyAlignment="1">
      <alignment horizontal="right" vertical="center"/>
    </xf>
    <xf numFmtId="0" fontId="63" fillId="0" borderId="8" xfId="0" applyFont="1" applyBorder="1" applyAlignment="1">
      <alignment horizontal="right" vertical="center"/>
    </xf>
    <xf numFmtId="0" fontId="63" fillId="0" borderId="9" xfId="0" applyFont="1" applyBorder="1" applyAlignment="1">
      <alignment horizontal="right" vertical="center"/>
    </xf>
    <xf numFmtId="0" fontId="46" fillId="0" borderId="6" xfId="0" applyFont="1" applyBorder="1" applyAlignment="1">
      <alignment horizontal="center" vertical="top"/>
    </xf>
    <xf numFmtId="0" fontId="46" fillId="0" borderId="4" xfId="0" applyFont="1" applyBorder="1" applyAlignment="1">
      <alignment horizontal="center" vertical="top"/>
    </xf>
    <xf numFmtId="0" fontId="46" fillId="0" borderId="7" xfId="0" applyFont="1" applyBorder="1" applyAlignment="1">
      <alignment horizontal="center" vertical="top"/>
    </xf>
    <xf numFmtId="2" fontId="0" fillId="0" borderId="5" xfId="0" applyNumberFormat="1" applyBorder="1"/>
    <xf numFmtId="2" fontId="0" fillId="0" borderId="12" xfId="0" applyNumberFormat="1" applyBorder="1"/>
    <xf numFmtId="0" fontId="46" fillId="0" borderId="13" xfId="0" applyFont="1" applyBorder="1" applyAlignment="1">
      <alignment horizontal="center" vertical="top"/>
    </xf>
    <xf numFmtId="0" fontId="46" fillId="0" borderId="9" xfId="0" applyFont="1" applyBorder="1" applyAlignment="1">
      <alignment horizontal="center" vertical="top"/>
    </xf>
    <xf numFmtId="2" fontId="0" fillId="0" borderId="10" xfId="0" applyNumberFormat="1" applyBorder="1"/>
    <xf numFmtId="2" fontId="0" fillId="0" borderId="15" xfId="0" applyNumberFormat="1" applyBorder="1"/>
    <xf numFmtId="0" fontId="11" fillId="0" borderId="6" xfId="1" applyFont="1" applyFill="1" applyBorder="1" applyAlignment="1" applyProtection="1">
      <alignment horizontal="left" vertical="center" wrapText="1"/>
      <protection locked="0"/>
    </xf>
    <xf numFmtId="0" fontId="11" fillId="0" borderId="7" xfId="1" applyFont="1" applyFill="1" applyBorder="1" applyAlignment="1" applyProtection="1">
      <alignment horizontal="left" vertical="center" wrapText="1"/>
      <protection locked="0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right"/>
    </xf>
    <xf numFmtId="2" fontId="46" fillId="0" borderId="6" xfId="0" applyNumberFormat="1" applyFont="1" applyBorder="1" applyAlignment="1">
      <alignment horizontal="right"/>
    </xf>
    <xf numFmtId="2" fontId="46" fillId="0" borderId="7" xfId="0" applyNumberFormat="1" applyFont="1" applyBorder="1" applyAlignment="1">
      <alignment horizontal="right"/>
    </xf>
    <xf numFmtId="0" fontId="46" fillId="0" borderId="5" xfId="0" applyFont="1" applyBorder="1" applyAlignment="1">
      <alignment horizontal="center" vertical="top"/>
    </xf>
    <xf numFmtId="0" fontId="46" fillId="0" borderId="0" xfId="0" applyFont="1" applyAlignment="1">
      <alignment horizontal="center" vertical="top"/>
    </xf>
    <xf numFmtId="0" fontId="46" fillId="0" borderId="12" xfId="0" applyFon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46" fillId="5" borderId="10" xfId="0" applyFont="1" applyFill="1" applyBorder="1" applyAlignment="1">
      <alignment horizontal="right" vertical="top"/>
    </xf>
    <xf numFmtId="0" fontId="46" fillId="5" borderId="11" xfId="0" applyFont="1" applyFill="1" applyBorder="1" applyAlignment="1">
      <alignment horizontal="right" vertical="top"/>
    </xf>
    <xf numFmtId="0" fontId="46" fillId="5" borderId="15" xfId="0" applyFont="1" applyFill="1" applyBorder="1" applyAlignment="1">
      <alignment horizontal="right" vertical="top"/>
    </xf>
    <xf numFmtId="0" fontId="0" fillId="5" borderId="10" xfId="0" applyFill="1" applyBorder="1" applyAlignment="1">
      <alignment horizontal="center" vertical="top"/>
    </xf>
    <xf numFmtId="0" fontId="0" fillId="5" borderId="15" xfId="0" applyFill="1" applyBorder="1" applyAlignment="1">
      <alignment horizontal="center" vertical="top"/>
    </xf>
    <xf numFmtId="0" fontId="0" fillId="5" borderId="13" xfId="0" applyFill="1" applyBorder="1" applyAlignment="1">
      <alignment horizontal="center" vertical="top"/>
    </xf>
    <xf numFmtId="0" fontId="0" fillId="5" borderId="9" xfId="0" applyFill="1" applyBorder="1" applyAlignment="1">
      <alignment horizontal="center" vertical="top"/>
    </xf>
    <xf numFmtId="0" fontId="0" fillId="5" borderId="7" xfId="0" applyFill="1" applyBorder="1" applyAlignment="1">
      <alignment horizontal="center" vertical="top" wrapText="1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46" fillId="5" borderId="5" xfId="0" applyFon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53" xfId="0" applyBorder="1" applyAlignment="1">
      <alignment horizontal="left" vertical="top"/>
    </xf>
    <xf numFmtId="0" fontId="0" fillId="0" borderId="54" xfId="0" applyBorder="1" applyAlignment="1">
      <alignment horizontal="left" vertical="top"/>
    </xf>
    <xf numFmtId="0" fontId="0" fillId="0" borderId="55" xfId="0" applyBorder="1" applyAlignment="1">
      <alignment horizontal="left" vertical="top"/>
    </xf>
    <xf numFmtId="2" fontId="0" fillId="0" borderId="5" xfId="0" applyNumberFormat="1" applyBorder="1" applyAlignment="1">
      <alignment horizontal="right"/>
    </xf>
    <xf numFmtId="2" fontId="0" fillId="0" borderId="12" xfId="0" applyNumberFormat="1" applyBorder="1" applyAlignment="1">
      <alignment horizontal="right"/>
    </xf>
    <xf numFmtId="2" fontId="0" fillId="0" borderId="13" xfId="0" applyNumberFormat="1" applyBorder="1"/>
    <xf numFmtId="2" fontId="0" fillId="0" borderId="9" xfId="0" applyNumberFormat="1" applyBorder="1"/>
    <xf numFmtId="0" fontId="0" fillId="0" borderId="53" xfId="0" applyBorder="1" applyAlignment="1">
      <alignment horizontal="center" vertical="top"/>
    </xf>
    <xf numFmtId="0" fontId="0" fillId="0" borderId="55" xfId="0" applyBorder="1" applyAlignment="1">
      <alignment horizontal="center" vertical="top"/>
    </xf>
    <xf numFmtId="0" fontId="85" fillId="0" borderId="5" xfId="0" applyFont="1" applyBorder="1" applyAlignment="1">
      <alignment horizontal="left" wrapText="1"/>
    </xf>
    <xf numFmtId="0" fontId="85" fillId="0" borderId="0" xfId="0" applyFont="1" applyAlignment="1">
      <alignment horizontal="left" wrapText="1"/>
    </xf>
    <xf numFmtId="0" fontId="85" fillId="0" borderId="12" xfId="0" applyFont="1" applyBorder="1" applyAlignment="1">
      <alignment horizontal="left" wrapText="1"/>
    </xf>
    <xf numFmtId="0" fontId="86" fillId="0" borderId="56" xfId="0" applyFont="1" applyBorder="1" applyAlignment="1">
      <alignment horizontal="left"/>
    </xf>
    <xf numFmtId="0" fontId="86" fillId="0" borderId="57" xfId="0" applyFont="1" applyBorder="1" applyAlignment="1">
      <alignment horizontal="left"/>
    </xf>
    <xf numFmtId="0" fontId="86" fillId="0" borderId="58" xfId="0" applyFont="1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46" fillId="0" borderId="13" xfId="0" applyFont="1" applyBorder="1" applyAlignment="1">
      <alignment horizontal="left"/>
    </xf>
    <xf numFmtId="0" fontId="46" fillId="0" borderId="8" xfId="0" applyFont="1" applyBorder="1" applyAlignment="1">
      <alignment horizontal="left"/>
    </xf>
    <xf numFmtId="0" fontId="46" fillId="0" borderId="9" xfId="0" applyFont="1" applyBorder="1" applyAlignment="1">
      <alignment horizontal="lef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83" fillId="0" borderId="10" xfId="0" applyFont="1" applyBorder="1" applyAlignment="1">
      <alignment horizontal="center"/>
    </xf>
    <xf numFmtId="0" fontId="83" fillId="0" borderId="11" xfId="0" applyFont="1" applyBorder="1" applyAlignment="1">
      <alignment horizontal="center"/>
    </xf>
    <xf numFmtId="0" fontId="83" fillId="0" borderId="15" xfId="0" applyFont="1" applyBorder="1" applyAlignment="1">
      <alignment horizontal="center"/>
    </xf>
    <xf numFmtId="0" fontId="83" fillId="0" borderId="10" xfId="0" applyFont="1" applyBorder="1" applyAlignment="1">
      <alignment horizontal="left"/>
    </xf>
    <xf numFmtId="0" fontId="83" fillId="0" borderId="11" xfId="0" applyFont="1" applyBorder="1" applyAlignment="1">
      <alignment horizontal="left"/>
    </xf>
    <xf numFmtId="0" fontId="83" fillId="0" borderId="15" xfId="0" applyFont="1" applyBorder="1" applyAlignment="1">
      <alignment horizontal="left"/>
    </xf>
    <xf numFmtId="0" fontId="84" fillId="0" borderId="13" xfId="0" applyFont="1" applyBorder="1" applyAlignment="1">
      <alignment horizontal="center"/>
    </xf>
    <xf numFmtId="0" fontId="84" fillId="0" borderId="9" xfId="0" applyFont="1" applyBorder="1" applyAlignment="1">
      <alignment horizontal="center"/>
    </xf>
    <xf numFmtId="164" fontId="46" fillId="0" borderId="13" xfId="0" applyNumberFormat="1" applyFont="1" applyBorder="1" applyAlignment="1">
      <alignment horizontal="left"/>
    </xf>
    <xf numFmtId="164" fontId="46" fillId="0" borderId="8" xfId="0" applyNumberFormat="1" applyFont="1" applyBorder="1" applyAlignment="1">
      <alignment horizontal="left"/>
    </xf>
    <xf numFmtId="164" fontId="46" fillId="0" borderId="9" xfId="0" applyNumberFormat="1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3</xdr:row>
      <xdr:rowOff>95250</xdr:rowOff>
    </xdr:from>
    <xdr:to>
      <xdr:col>15</xdr:col>
      <xdr:colOff>333375</xdr:colOff>
      <xdr:row>5</xdr:row>
      <xdr:rowOff>161925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2000" contrast="44000"/>
          <a:grayscl/>
        </a:blip>
        <a:srcRect/>
        <a:stretch>
          <a:fillRect/>
        </a:stretch>
      </xdr:blipFill>
      <xdr:spPr bwMode="auto">
        <a:xfrm>
          <a:off x="9810750" y="742950"/>
          <a:ext cx="2105025" cy="447675"/>
        </a:xfrm>
        <a:prstGeom prst="rect">
          <a:avLst/>
        </a:prstGeom>
        <a:solidFill>
          <a:srgbClr val="0D0D0D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31751</xdr:colOff>
      <xdr:row>0</xdr:row>
      <xdr:rowOff>184150</xdr:rowOff>
    </xdr:from>
    <xdr:to>
      <xdr:col>13</xdr:col>
      <xdr:colOff>460455</xdr:colOff>
      <xdr:row>2</xdr:row>
      <xdr:rowOff>9525</xdr:rowOff>
    </xdr:to>
    <xdr:pic>
      <xdr:nvPicPr>
        <xdr:cNvPr id="5145" name="Picture 4">
          <a:extLst>
            <a:ext uri="{FF2B5EF4-FFF2-40B4-BE49-F238E27FC236}">
              <a16:creationId xmlns:a16="http://schemas.microsoft.com/office/drawing/2014/main" id="{00000000-0008-0000-0100-00001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9185276" y="184150"/>
          <a:ext cx="2257504" cy="330200"/>
        </a:xfrm>
        <a:prstGeom prst="rect">
          <a:avLst/>
        </a:prstGeom>
        <a:solidFill>
          <a:srgbClr val="7030A0">
            <a:alpha val="4000"/>
          </a:srgbClr>
        </a:solidFill>
        <a:ln w="9525">
          <a:noFill/>
          <a:miter lim="800000"/>
          <a:headEnd/>
          <a:tailEnd/>
        </a:ln>
        <a:effectLst/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582553</xdr:colOff>
      <xdr:row>1</xdr:row>
      <xdr:rowOff>86591</xdr:rowOff>
    </xdr:from>
    <xdr:to>
      <xdr:col>25</xdr:col>
      <xdr:colOff>109250</xdr:colOff>
      <xdr:row>2</xdr:row>
      <xdr:rowOff>251030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30385" y="505114"/>
          <a:ext cx="3423288" cy="62625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>
          <a:noFill/>
          <a:miter lim="800000"/>
          <a:headEnd/>
          <a:tailEnd/>
        </a:ln>
        <a:effectLst>
          <a:glow rad="127000">
            <a:schemeClr val="accent4">
              <a:lumMod val="75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>
    <xdr:from>
      <xdr:col>2</xdr:col>
      <xdr:colOff>679160</xdr:colOff>
      <xdr:row>4</xdr:row>
      <xdr:rowOff>101023</xdr:rowOff>
    </xdr:from>
    <xdr:to>
      <xdr:col>2</xdr:col>
      <xdr:colOff>1088735</xdr:colOff>
      <xdr:row>6</xdr:row>
      <xdr:rowOff>158749</xdr:rowOff>
    </xdr:to>
    <xdr:sp macro="" textlink="">
      <xdr:nvSpPr>
        <xdr:cNvPr id="5" name="Smiley Fac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70576" y="1760682"/>
          <a:ext cx="438150" cy="481060"/>
        </a:xfrm>
        <a:prstGeom prst="smileyFac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</xdr:colOff>
      <xdr:row>2</xdr:row>
      <xdr:rowOff>142876</xdr:rowOff>
    </xdr:from>
    <xdr:to>
      <xdr:col>4</xdr:col>
      <xdr:colOff>184150</xdr:colOff>
      <xdr:row>4</xdr:row>
      <xdr:rowOff>5120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1660525" y="600076"/>
          <a:ext cx="2454275" cy="44644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  <a:effectLst>
          <a:glow rad="127000">
            <a:schemeClr val="bg1">
              <a:lumMod val="50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 editAs="oneCell">
    <xdr:from>
      <xdr:col>6</xdr:col>
      <xdr:colOff>695325</xdr:colOff>
      <xdr:row>34</xdr:row>
      <xdr:rowOff>209550</xdr:rowOff>
    </xdr:from>
    <xdr:to>
      <xdr:col>7</xdr:col>
      <xdr:colOff>400050</xdr:colOff>
      <xdr:row>39</xdr:row>
      <xdr:rowOff>266700</xdr:rowOff>
    </xdr:to>
    <xdr:pic>
      <xdr:nvPicPr>
        <xdr:cNvPr id="6146" name="Picture 3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105525" y="10991850"/>
          <a:ext cx="923925" cy="1381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</xdr:colOff>
      <xdr:row>2</xdr:row>
      <xdr:rowOff>142876</xdr:rowOff>
    </xdr:from>
    <xdr:to>
      <xdr:col>4</xdr:col>
      <xdr:colOff>184150</xdr:colOff>
      <xdr:row>4</xdr:row>
      <xdr:rowOff>5120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1660525" y="593726"/>
          <a:ext cx="2695575" cy="44644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  <a:effectLst>
          <a:glow rad="127000">
            <a:schemeClr val="bg1">
              <a:lumMod val="50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 editAs="oneCell">
    <xdr:from>
      <xdr:col>6</xdr:col>
      <xdr:colOff>695325</xdr:colOff>
      <xdr:row>35</xdr:row>
      <xdr:rowOff>209550</xdr:rowOff>
    </xdr:from>
    <xdr:to>
      <xdr:col>7</xdr:col>
      <xdr:colOff>400050</xdr:colOff>
      <xdr:row>40</xdr:row>
      <xdr:rowOff>266700</xdr:rowOff>
    </xdr:to>
    <xdr:pic>
      <xdr:nvPicPr>
        <xdr:cNvPr id="7170" name="Picture 3">
          <a:extLst>
            <a:ext uri="{FF2B5EF4-FFF2-40B4-BE49-F238E27FC236}">
              <a16:creationId xmlns:a16="http://schemas.microsoft.com/office/drawing/2014/main" id="{00000000-0008-0000-0600-00000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000750" y="11563350"/>
          <a:ext cx="923925" cy="1381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alindravi\SkyDrive\Documents\WJCutting_Costing201109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 out1"/>
      <sheetName val="Work out2"/>
      <sheetName val="Rough Sheet"/>
    </sheetNames>
    <sheetDataSet>
      <sheetData sheetId="0">
        <row r="71">
          <cell r="D71" t="str">
            <v>TOOL STEEL</v>
          </cell>
        </row>
        <row r="72">
          <cell r="D72" t="str">
            <v>INCONEL</v>
          </cell>
        </row>
        <row r="73">
          <cell r="D73" t="str">
            <v>STAINLESS STEEL</v>
          </cell>
        </row>
        <row r="74">
          <cell r="D74" t="str">
            <v>NILO 36</v>
          </cell>
        </row>
        <row r="75">
          <cell r="D75" t="str">
            <v>TITANIUM</v>
          </cell>
        </row>
        <row r="76">
          <cell r="D76" t="str">
            <v>COPPER (and BRASS)</v>
          </cell>
        </row>
        <row r="77">
          <cell r="D77" t="str">
            <v>BRONZE</v>
          </cell>
        </row>
        <row r="78">
          <cell r="D78" t="str">
            <v>ALUMINIUM</v>
          </cell>
        </row>
        <row r="79">
          <cell r="D79" t="str">
            <v>KEVLER LAMINATE</v>
          </cell>
        </row>
        <row r="80">
          <cell r="D80" t="str">
            <v>GLASS</v>
          </cell>
        </row>
        <row r="81">
          <cell r="D81" t="str">
            <v>kmtMARBLE (for Granite)</v>
          </cell>
        </row>
        <row r="82">
          <cell r="D82" t="str">
            <v>kmtGRANITE (for Marble)</v>
          </cell>
        </row>
        <row r="83">
          <cell r="D83" t="str">
            <v>PLEXI GLASS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indjet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IS60"/>
  <sheetViews>
    <sheetView view="pageBreakPreview" topLeftCell="A4" zoomScaleSheetLayoutView="100" workbookViewId="0">
      <selection activeCell="I10" sqref="I10:J10"/>
    </sheetView>
  </sheetViews>
  <sheetFormatPr defaultRowHeight="14.5"/>
  <cols>
    <col min="2" max="2" width="5.1796875" customWidth="1"/>
    <col min="3" max="3" width="24.54296875" customWidth="1"/>
    <col min="4" max="4" width="10.1796875" customWidth="1"/>
    <col min="5" max="5" width="9" customWidth="1"/>
    <col min="6" max="6" width="30.7265625" customWidth="1"/>
    <col min="7" max="7" width="9.81640625" customWidth="1"/>
    <col min="8" max="8" width="8.7265625" customWidth="1"/>
    <col min="9" max="9" width="9.26953125" bestFit="1" customWidth="1"/>
    <col min="10" max="10" width="11.453125" customWidth="1"/>
  </cols>
  <sheetData>
    <row r="2" spans="1:253" ht="15.5">
      <c r="B2" s="264"/>
      <c r="C2" s="264"/>
      <c r="D2" s="264"/>
      <c r="E2" s="264"/>
      <c r="F2" s="264"/>
      <c r="G2" s="264"/>
      <c r="H2" s="405" t="s">
        <v>97</v>
      </c>
      <c r="I2" s="405"/>
      <c r="J2" s="405"/>
    </row>
    <row r="3" spans="1:253" ht="20.25" customHeight="1">
      <c r="C3" s="411" t="s">
        <v>160</v>
      </c>
      <c r="D3" s="411"/>
      <c r="E3" s="406" t="s">
        <v>54</v>
      </c>
      <c r="F3" s="406"/>
      <c r="G3" s="406"/>
      <c r="H3" s="406"/>
      <c r="I3" s="406"/>
      <c r="J3" s="406"/>
    </row>
    <row r="4" spans="1:253" ht="15" customHeight="1">
      <c r="C4" s="411"/>
      <c r="D4" s="411"/>
      <c r="G4" s="407" t="s">
        <v>212</v>
      </c>
      <c r="H4" s="407"/>
      <c r="I4" s="407"/>
      <c r="J4" s="407"/>
    </row>
    <row r="5" spans="1:253" ht="15" customHeight="1">
      <c r="B5" s="1"/>
      <c r="C5" s="411"/>
      <c r="D5" s="411"/>
      <c r="H5" s="408" t="s">
        <v>53</v>
      </c>
      <c r="I5" s="408"/>
      <c r="J5" s="408"/>
    </row>
    <row r="6" spans="1:253" ht="19.5" thickBot="1">
      <c r="B6" s="409" t="s">
        <v>58</v>
      </c>
      <c r="C6" s="409"/>
      <c r="D6" s="409"/>
      <c r="E6" s="409"/>
      <c r="F6" s="409"/>
      <c r="G6" s="409"/>
      <c r="H6" s="410" t="s">
        <v>55</v>
      </c>
      <c r="I6" s="410"/>
      <c r="J6" s="410"/>
    </row>
    <row r="7" spans="1:253" ht="10.5" customHeight="1" thickTop="1">
      <c r="B7" s="412"/>
      <c r="C7" s="412"/>
      <c r="D7" s="412"/>
      <c r="E7" s="412"/>
      <c r="F7" s="412"/>
      <c r="G7" s="412"/>
      <c r="H7" s="412"/>
      <c r="I7" s="412"/>
      <c r="J7" s="412"/>
    </row>
    <row r="8" spans="1:253">
      <c r="B8" s="415" t="s">
        <v>48</v>
      </c>
      <c r="C8" s="415"/>
      <c r="D8" s="415"/>
      <c r="E8" s="415"/>
      <c r="F8" s="415"/>
      <c r="G8" s="415"/>
      <c r="H8" s="415"/>
      <c r="I8" s="415"/>
      <c r="J8" s="415"/>
    </row>
    <row r="9" spans="1:253" s="3" customFormat="1" ht="14">
      <c r="B9" s="14"/>
    </row>
    <row r="10" spans="1:253" s="3" customFormat="1" ht="15" customHeight="1">
      <c r="B10" s="5"/>
      <c r="C10" s="5" t="s">
        <v>233</v>
      </c>
      <c r="D10" s="5"/>
      <c r="E10" s="5"/>
      <c r="H10" s="4"/>
      <c r="I10" s="413" t="s">
        <v>95</v>
      </c>
      <c r="J10" s="413"/>
    </row>
    <row r="11" spans="1:253" s="3" customFormat="1" ht="14">
      <c r="B11" s="15"/>
    </row>
    <row r="12" spans="1:253" s="3" customFormat="1" ht="14">
      <c r="B12" s="5" t="s">
        <v>49</v>
      </c>
      <c r="C12" s="107"/>
      <c r="D12" s="107"/>
      <c r="E12" s="107"/>
      <c r="F12" s="105"/>
    </row>
    <row r="13" spans="1:253" s="3" customFormat="1" ht="56.25" customHeight="1">
      <c r="B13" s="5"/>
      <c r="C13" s="414"/>
      <c r="D13" s="414"/>
      <c r="E13" s="414"/>
      <c r="F13" s="414"/>
    </row>
    <row r="14" spans="1:253" s="3" customFormat="1" ht="15" customHeight="1">
      <c r="B14" s="5"/>
      <c r="C14" s="108"/>
      <c r="D14" s="108"/>
      <c r="E14" s="108"/>
      <c r="F14" s="108"/>
    </row>
    <row r="15" spans="1:253" s="3" customFormat="1" ht="18.75" customHeight="1">
      <c r="A15" s="2"/>
      <c r="B15" s="17"/>
      <c r="C15" s="17" t="s">
        <v>65</v>
      </c>
      <c r="D15" s="389" t="str">
        <f>Qtn_table1!D15</f>
        <v>Mr.</v>
      </c>
      <c r="E15" s="389"/>
      <c r="F15" s="389"/>
      <c r="G15" s="93"/>
      <c r="H15" s="93"/>
      <c r="I15" s="93"/>
      <c r="J15" s="93"/>
      <c r="K15" s="389"/>
      <c r="L15" s="389"/>
      <c r="M15" s="389"/>
      <c r="Q15" s="2"/>
      <c r="R15" s="17" t="s">
        <v>65</v>
      </c>
      <c r="S15" s="389"/>
      <c r="T15" s="389"/>
      <c r="U15" s="389"/>
      <c r="Y15" s="2"/>
      <c r="Z15" s="17" t="s">
        <v>65</v>
      </c>
      <c r="AA15" s="389"/>
      <c r="AB15" s="389"/>
      <c r="AC15" s="389"/>
      <c r="AG15" s="2"/>
      <c r="AH15" s="17" t="s">
        <v>65</v>
      </c>
      <c r="AI15" s="389"/>
      <c r="AJ15" s="389"/>
      <c r="AK15" s="389"/>
      <c r="AO15" s="2"/>
      <c r="AP15" s="17" t="s">
        <v>65</v>
      </c>
      <c r="AQ15" s="389"/>
      <c r="AR15" s="389"/>
      <c r="AS15" s="389"/>
      <c r="AW15" s="2"/>
      <c r="AX15" s="17" t="s">
        <v>65</v>
      </c>
      <c r="AY15" s="389"/>
      <c r="AZ15" s="389"/>
      <c r="BA15" s="389"/>
      <c r="BE15" s="2"/>
      <c r="BF15" s="17" t="s">
        <v>65</v>
      </c>
      <c r="BG15" s="389"/>
      <c r="BH15" s="389"/>
      <c r="BI15" s="389"/>
      <c r="BM15" s="2"/>
      <c r="BN15" s="17" t="s">
        <v>65</v>
      </c>
      <c r="BO15" s="389"/>
      <c r="BP15" s="389"/>
      <c r="BQ15" s="389"/>
      <c r="BU15" s="2"/>
      <c r="BV15" s="17" t="s">
        <v>65</v>
      </c>
      <c r="BW15" s="389"/>
      <c r="BX15" s="389"/>
      <c r="BY15" s="389"/>
      <c r="CC15" s="2"/>
      <c r="CD15" s="17" t="s">
        <v>65</v>
      </c>
      <c r="CE15" s="389"/>
      <c r="CF15" s="389"/>
      <c r="CG15" s="389"/>
      <c r="CK15" s="2"/>
      <c r="CL15" s="17" t="s">
        <v>65</v>
      </c>
      <c r="CM15" s="389"/>
      <c r="CN15" s="389"/>
      <c r="CO15" s="389"/>
      <c r="CS15" s="2"/>
      <c r="CT15" s="17" t="s">
        <v>65</v>
      </c>
      <c r="CU15" s="389"/>
      <c r="CV15" s="389"/>
      <c r="CW15" s="389"/>
      <c r="DA15" s="2"/>
      <c r="DB15" s="17" t="s">
        <v>65</v>
      </c>
      <c r="DC15" s="389"/>
      <c r="DD15" s="389"/>
      <c r="DE15" s="389"/>
      <c r="DI15" s="2"/>
      <c r="DJ15" s="17" t="s">
        <v>65</v>
      </c>
      <c r="DK15" s="389"/>
      <c r="DL15" s="389"/>
      <c r="DM15" s="389"/>
      <c r="DQ15" s="2"/>
      <c r="DR15" s="17" t="s">
        <v>65</v>
      </c>
      <c r="DS15" s="389"/>
      <c r="DT15" s="389"/>
      <c r="DU15" s="389"/>
      <c r="DY15" s="2"/>
      <c r="DZ15" s="17" t="s">
        <v>65</v>
      </c>
      <c r="EA15" s="389"/>
      <c r="EB15" s="389"/>
      <c r="EC15" s="389"/>
      <c r="EG15" s="2"/>
      <c r="EH15" s="17" t="s">
        <v>65</v>
      </c>
      <c r="EI15" s="389"/>
      <c r="EJ15" s="389"/>
      <c r="EK15" s="389"/>
      <c r="EO15" s="2"/>
      <c r="EP15" s="17" t="s">
        <v>65</v>
      </c>
      <c r="EQ15" s="389"/>
      <c r="ER15" s="389"/>
      <c r="ES15" s="389"/>
      <c r="EW15" s="2"/>
      <c r="EX15" s="17" t="s">
        <v>65</v>
      </c>
      <c r="EY15" s="389"/>
      <c r="EZ15" s="389"/>
      <c r="FA15" s="389"/>
      <c r="FE15" s="2"/>
      <c r="FF15" s="17" t="s">
        <v>65</v>
      </c>
      <c r="FG15" s="389"/>
      <c r="FH15" s="389"/>
      <c r="FI15" s="389"/>
      <c r="FM15" s="2"/>
      <c r="FN15" s="17" t="s">
        <v>65</v>
      </c>
      <c r="FO15" s="389"/>
      <c r="FP15" s="389"/>
      <c r="FQ15" s="389"/>
      <c r="FU15" s="2"/>
      <c r="FV15" s="17" t="s">
        <v>65</v>
      </c>
      <c r="FW15" s="389"/>
      <c r="FX15" s="389"/>
      <c r="FY15" s="389"/>
      <c r="GC15" s="2"/>
      <c r="GD15" s="17" t="s">
        <v>65</v>
      </c>
      <c r="GE15" s="389"/>
      <c r="GF15" s="389"/>
      <c r="GG15" s="389"/>
      <c r="GK15" s="2"/>
      <c r="GL15" s="17" t="s">
        <v>65</v>
      </c>
      <c r="GM15" s="389"/>
      <c r="GN15" s="389"/>
      <c r="GO15" s="389"/>
      <c r="GS15" s="2"/>
      <c r="GT15" s="17" t="s">
        <v>65</v>
      </c>
      <c r="GU15" s="389"/>
      <c r="GV15" s="389"/>
      <c r="GW15" s="389"/>
      <c r="HA15" s="2"/>
      <c r="HB15" s="17" t="s">
        <v>65</v>
      </c>
      <c r="HC15" s="389"/>
      <c r="HD15" s="389"/>
      <c r="HE15" s="389"/>
      <c r="HI15" s="2"/>
      <c r="HJ15" s="17" t="s">
        <v>65</v>
      </c>
      <c r="HK15" s="389"/>
      <c r="HL15" s="389"/>
      <c r="HM15" s="389"/>
      <c r="HQ15" s="2"/>
      <c r="HR15" s="17" t="s">
        <v>65</v>
      </c>
      <c r="HS15" s="389"/>
      <c r="HT15" s="389"/>
      <c r="HU15" s="389"/>
      <c r="HY15" s="2"/>
      <c r="HZ15" s="17" t="s">
        <v>65</v>
      </c>
      <c r="IA15" s="389"/>
      <c r="IB15" s="389"/>
      <c r="IC15" s="389"/>
      <c r="IG15" s="2"/>
      <c r="IH15" s="17" t="s">
        <v>65</v>
      </c>
      <c r="II15" s="389"/>
      <c r="IJ15" s="389"/>
      <c r="IK15" s="389"/>
      <c r="IO15" s="2"/>
      <c r="IP15" s="17" t="s">
        <v>65</v>
      </c>
      <c r="IQ15" s="389"/>
      <c r="IR15" s="389"/>
      <c r="IS15" s="389"/>
    </row>
    <row r="16" spans="1:253" s="3" customFormat="1" ht="14.25" customHeight="1">
      <c r="B16" s="17"/>
      <c r="C16" s="4" t="s">
        <v>56</v>
      </c>
      <c r="D16" s="389" t="s">
        <v>206</v>
      </c>
      <c r="E16" s="389"/>
      <c r="F16" s="389"/>
      <c r="G16" s="88"/>
      <c r="H16" s="88"/>
      <c r="I16" s="88"/>
      <c r="J16" s="88"/>
    </row>
    <row r="17" spans="2:10" s="3" customFormat="1" ht="15.65" customHeight="1">
      <c r="B17" s="17"/>
      <c r="C17" s="4" t="s">
        <v>57</v>
      </c>
      <c r="D17" s="48" t="s">
        <v>89</v>
      </c>
      <c r="E17" s="48"/>
      <c r="F17" s="48"/>
      <c r="G17" s="48"/>
      <c r="H17" s="48"/>
    </row>
    <row r="18" spans="2:10" s="3" customFormat="1" ht="14">
      <c r="B18" s="5" t="s">
        <v>50</v>
      </c>
    </row>
    <row r="19" spans="2:10" s="3" customFormat="1" ht="14">
      <c r="B19" s="5"/>
    </row>
    <row r="20" spans="2:10" s="3" customFormat="1" ht="14">
      <c r="B20" s="5" t="s">
        <v>51</v>
      </c>
    </row>
    <row r="21" spans="2:10" s="3" customFormat="1" ht="14">
      <c r="B21" s="6"/>
    </row>
    <row r="22" spans="2:10" s="3" customFormat="1" ht="46.5" customHeight="1">
      <c r="B22" s="75" t="s">
        <v>41</v>
      </c>
      <c r="C22" s="89" t="s">
        <v>18</v>
      </c>
      <c r="D22" s="76" t="s">
        <v>17</v>
      </c>
      <c r="E22" s="75" t="s">
        <v>64</v>
      </c>
      <c r="F22" s="76" t="s">
        <v>21</v>
      </c>
      <c r="G22" s="77" t="s">
        <v>36</v>
      </c>
      <c r="H22" s="76" t="s">
        <v>92</v>
      </c>
      <c r="I22" s="78" t="s">
        <v>59</v>
      </c>
      <c r="J22" s="75" t="s">
        <v>60</v>
      </c>
    </row>
    <row r="23" spans="2:10" s="3" customFormat="1" ht="16" customHeight="1">
      <c r="B23" s="79"/>
      <c r="C23" s="90"/>
      <c r="D23" s="80"/>
      <c r="E23" s="79"/>
      <c r="F23" s="280"/>
      <c r="G23" s="82"/>
      <c r="H23" s="81"/>
      <c r="I23" s="83"/>
      <c r="J23" s="79"/>
    </row>
    <row r="24" spans="2:10" s="3" customFormat="1" ht="19.5" customHeight="1">
      <c r="B24" s="61">
        <v>1</v>
      </c>
      <c r="C24" s="91">
        <f>'WORK OUT'!C9</f>
        <v>0</v>
      </c>
      <c r="D24" s="51">
        <f>'WORK OUT'!$D9</f>
        <v>0</v>
      </c>
      <c r="E24" s="8">
        <f>'WORK OUT'!$E9</f>
        <v>0</v>
      </c>
      <c r="F24" s="62"/>
      <c r="G24" s="25">
        <f>'WORK OUT'!$H9/1000</f>
        <v>0</v>
      </c>
      <c r="H24" s="9">
        <f>'WORK OUT'!$I9</f>
        <v>0</v>
      </c>
      <c r="I24" s="16" t="e">
        <f>'WORK OUT'!$AB9</f>
        <v>#DIV/0!</v>
      </c>
      <c r="J24" s="63" t="e">
        <f t="shared" ref="J24:J29" si="0">ROUND((G24*H24*I24),0)</f>
        <v>#DIV/0!</v>
      </c>
    </row>
    <row r="25" spans="2:10" s="3" customFormat="1" ht="14">
      <c r="B25" s="84">
        <v>2</v>
      </c>
      <c r="C25" s="91">
        <f>'WORK OUT'!C10</f>
        <v>0</v>
      </c>
      <c r="D25" s="57">
        <f>'WORK OUT'!$D10</f>
        <v>0</v>
      </c>
      <c r="E25" s="7">
        <f>'WORK OUT'!$E10</f>
        <v>0</v>
      </c>
      <c r="F25" s="18"/>
      <c r="G25" s="58">
        <f>'WORK OUT'!$H10/1000</f>
        <v>0</v>
      </c>
      <c r="H25" s="59">
        <f>'WORK OUT'!$I10</f>
        <v>0</v>
      </c>
      <c r="I25" s="60" t="e">
        <f>'WORK OUT'!$AB10</f>
        <v>#DIV/0!</v>
      </c>
      <c r="J25" s="85" t="e">
        <f t="shared" si="0"/>
        <v>#DIV/0!</v>
      </c>
    </row>
    <row r="26" spans="2:10" s="3" customFormat="1" ht="14">
      <c r="B26" s="61">
        <v>3</v>
      </c>
      <c r="C26" s="91">
        <f>'WORK OUT'!C11</f>
        <v>0</v>
      </c>
      <c r="D26" s="52">
        <f>'WORK OUT'!$D11</f>
        <v>0</v>
      </c>
      <c r="E26" s="8">
        <f>'WORK OUT'!$E11</f>
        <v>0</v>
      </c>
      <c r="F26" s="18"/>
      <c r="G26" s="25">
        <f>'WORK OUT'!$H11/1000</f>
        <v>0</v>
      </c>
      <c r="H26" s="9">
        <f>'WORK OUT'!$I11</f>
        <v>0</v>
      </c>
      <c r="I26" s="16" t="e">
        <f>'WORK OUT'!$AB11</f>
        <v>#DIV/0!</v>
      </c>
      <c r="J26" s="63" t="e">
        <f t="shared" si="0"/>
        <v>#DIV/0!</v>
      </c>
    </row>
    <row r="27" spans="2:10" s="3" customFormat="1" ht="14">
      <c r="B27" s="61">
        <v>4</v>
      </c>
      <c r="C27" s="91">
        <f>'WORK OUT'!C12</f>
        <v>0</v>
      </c>
      <c r="D27" s="52">
        <f>'WORK OUT'!$D12</f>
        <v>0</v>
      </c>
      <c r="E27" s="8">
        <f>'WORK OUT'!$E12</f>
        <v>0</v>
      </c>
      <c r="F27" s="18"/>
      <c r="G27" s="25">
        <f>'WORK OUT'!$H12/1000</f>
        <v>0</v>
      </c>
      <c r="H27" s="9">
        <f>'WORK OUT'!$I12</f>
        <v>0</v>
      </c>
      <c r="I27" s="16" t="e">
        <f>'WORK OUT'!$AB12</f>
        <v>#DIV/0!</v>
      </c>
      <c r="J27" s="63" t="e">
        <f t="shared" si="0"/>
        <v>#DIV/0!</v>
      </c>
    </row>
    <row r="28" spans="2:10" s="3" customFormat="1" ht="14">
      <c r="B28" s="61">
        <v>5</v>
      </c>
      <c r="C28" s="91">
        <f>'WORK OUT'!C13</f>
        <v>0</v>
      </c>
      <c r="D28" s="52">
        <f>'WORK OUT'!$D13</f>
        <v>0</v>
      </c>
      <c r="E28" s="8">
        <f>'WORK OUT'!$E13</f>
        <v>0</v>
      </c>
      <c r="F28" s="18"/>
      <c r="G28" s="25">
        <f>'WORK OUT'!$H13/1000</f>
        <v>0</v>
      </c>
      <c r="H28" s="9">
        <f>'WORK OUT'!$I13</f>
        <v>0</v>
      </c>
      <c r="I28" s="16" t="e">
        <f>'WORK OUT'!$AB13</f>
        <v>#DIV/0!</v>
      </c>
      <c r="J28" s="63" t="e">
        <f t="shared" si="0"/>
        <v>#DIV/0!</v>
      </c>
    </row>
    <row r="29" spans="2:10" s="3" customFormat="1" ht="14">
      <c r="B29" s="61">
        <v>6</v>
      </c>
      <c r="C29" s="91">
        <f>'WORK OUT'!C14</f>
        <v>0</v>
      </c>
      <c r="D29" s="52">
        <f>'WORK OUT'!$D14</f>
        <v>0</v>
      </c>
      <c r="E29" s="8">
        <f>'WORK OUT'!$E14</f>
        <v>0</v>
      </c>
      <c r="F29" s="18"/>
      <c r="G29" s="25">
        <f>'WORK OUT'!$H14/1000</f>
        <v>0</v>
      </c>
      <c r="H29" s="9">
        <f>'WORK OUT'!$I14</f>
        <v>0</v>
      </c>
      <c r="I29" s="16" t="e">
        <f>'WORK OUT'!$AB14</f>
        <v>#DIV/0!</v>
      </c>
      <c r="J29" s="63" t="e">
        <f t="shared" si="0"/>
        <v>#DIV/0!</v>
      </c>
    </row>
    <row r="30" spans="2:10" s="3" customFormat="1" ht="14">
      <c r="B30" s="61">
        <v>7</v>
      </c>
      <c r="C30" s="91">
        <f>'WORK OUT'!C15</f>
        <v>0</v>
      </c>
      <c r="D30" s="52">
        <f>'WORK OUT'!$D15</f>
        <v>0</v>
      </c>
      <c r="E30" s="8">
        <f>'WORK OUT'!$E15</f>
        <v>0</v>
      </c>
      <c r="F30" s="18"/>
      <c r="G30" s="25">
        <f>'WORK OUT'!$H15/1000</f>
        <v>0</v>
      </c>
      <c r="H30" s="9">
        <f>'WORK OUT'!$I15</f>
        <v>0</v>
      </c>
      <c r="I30" s="16" t="e">
        <f>'WORK OUT'!$AB15</f>
        <v>#DIV/0!</v>
      </c>
      <c r="J30" s="63" t="e">
        <f>ROUND((G30*H30*I30),0)</f>
        <v>#DIV/0!</v>
      </c>
    </row>
    <row r="31" spans="2:10" s="3" customFormat="1" ht="14">
      <c r="B31" s="61">
        <v>8</v>
      </c>
      <c r="C31" s="91">
        <f>'WORK OUT'!C16</f>
        <v>0</v>
      </c>
      <c r="D31" s="52">
        <f>'WORK OUT'!$D16</f>
        <v>0</v>
      </c>
      <c r="E31" s="8">
        <f>'WORK OUT'!$E16</f>
        <v>0</v>
      </c>
      <c r="F31" s="18"/>
      <c r="G31" s="25">
        <f>'WORK OUT'!$H16/1000</f>
        <v>0</v>
      </c>
      <c r="H31" s="9">
        <f>'WORK OUT'!$I16</f>
        <v>0</v>
      </c>
      <c r="I31" s="16" t="e">
        <f>'WORK OUT'!$AB16</f>
        <v>#DIV/0!</v>
      </c>
      <c r="J31" s="63" t="e">
        <f t="shared" ref="J31:J37" si="1">ROUND((G31*H31*I31),0)</f>
        <v>#DIV/0!</v>
      </c>
    </row>
    <row r="32" spans="2:10" s="3" customFormat="1" ht="14">
      <c r="B32" s="61">
        <v>9</v>
      </c>
      <c r="C32" s="91">
        <f>'WORK OUT'!C17</f>
        <v>0</v>
      </c>
      <c r="D32" s="52">
        <f>'WORK OUT'!$D17</f>
        <v>0</v>
      </c>
      <c r="E32" s="8">
        <f>'WORK OUT'!$E17</f>
        <v>0</v>
      </c>
      <c r="F32" s="18"/>
      <c r="G32" s="25">
        <f>'WORK OUT'!$H17/1000</f>
        <v>0</v>
      </c>
      <c r="H32" s="9">
        <f>'WORK OUT'!$I17</f>
        <v>0</v>
      </c>
      <c r="I32" s="16" t="e">
        <f>'WORK OUT'!$AB17</f>
        <v>#DIV/0!</v>
      </c>
      <c r="J32" s="63" t="e">
        <f t="shared" si="1"/>
        <v>#DIV/0!</v>
      </c>
    </row>
    <row r="33" spans="2:10" s="3" customFormat="1" ht="14">
      <c r="B33" s="61">
        <v>10</v>
      </c>
      <c r="C33" s="91">
        <f>'WORK OUT'!C18</f>
        <v>0</v>
      </c>
      <c r="D33" s="52">
        <f>'WORK OUT'!$D18</f>
        <v>0</v>
      </c>
      <c r="E33" s="8">
        <f>'WORK OUT'!$E18</f>
        <v>0</v>
      </c>
      <c r="F33" s="18"/>
      <c r="G33" s="25">
        <f>'WORK OUT'!$H18/1000</f>
        <v>0</v>
      </c>
      <c r="H33" s="9">
        <f>'WORK OUT'!$I18</f>
        <v>0</v>
      </c>
      <c r="I33" s="16" t="e">
        <f>'WORK OUT'!$AB18</f>
        <v>#DIV/0!</v>
      </c>
      <c r="J33" s="63" t="e">
        <f t="shared" si="1"/>
        <v>#DIV/0!</v>
      </c>
    </row>
    <row r="34" spans="2:10" s="3" customFormat="1" ht="14">
      <c r="B34" s="61">
        <v>11</v>
      </c>
      <c r="C34" s="91">
        <f>'WORK OUT'!C19</f>
        <v>0</v>
      </c>
      <c r="D34" s="52">
        <f>'WORK OUT'!$D19</f>
        <v>0</v>
      </c>
      <c r="E34" s="8">
        <f>'WORK OUT'!$E19</f>
        <v>0</v>
      </c>
      <c r="F34" s="18"/>
      <c r="G34" s="25">
        <f>'WORK OUT'!$H19/1000</f>
        <v>0</v>
      </c>
      <c r="H34" s="9">
        <f>'WORK OUT'!$I19</f>
        <v>0</v>
      </c>
      <c r="I34" s="16" t="e">
        <f>'WORK OUT'!$AB19</f>
        <v>#DIV/0!</v>
      </c>
      <c r="J34" s="63" t="e">
        <f t="shared" si="1"/>
        <v>#DIV/0!</v>
      </c>
    </row>
    <row r="35" spans="2:10" s="3" customFormat="1" ht="14">
      <c r="B35" s="61">
        <v>12</v>
      </c>
      <c r="C35" s="91">
        <f>'WORK OUT'!C20</f>
        <v>0</v>
      </c>
      <c r="D35" s="52">
        <f>'WORK OUT'!$D20</f>
        <v>0</v>
      </c>
      <c r="E35" s="8">
        <f>'WORK OUT'!$E20</f>
        <v>0</v>
      </c>
      <c r="F35" s="18"/>
      <c r="G35" s="25">
        <f>'WORK OUT'!$H20/1000</f>
        <v>0</v>
      </c>
      <c r="H35" s="9">
        <f>'WORK OUT'!$I20</f>
        <v>0</v>
      </c>
      <c r="I35" s="16" t="e">
        <f>'WORK OUT'!$AB20</f>
        <v>#DIV/0!</v>
      </c>
      <c r="J35" s="63" t="e">
        <f t="shared" si="1"/>
        <v>#DIV/0!</v>
      </c>
    </row>
    <row r="36" spans="2:10" s="3" customFormat="1" ht="14">
      <c r="B36" s="61">
        <v>13</v>
      </c>
      <c r="C36" s="91">
        <f>'WORK OUT'!C21</f>
        <v>0</v>
      </c>
      <c r="D36" s="52">
        <f>'WORK OUT'!$D21</f>
        <v>0</v>
      </c>
      <c r="E36" s="8">
        <f>'WORK OUT'!$E21</f>
        <v>0</v>
      </c>
      <c r="F36" s="18"/>
      <c r="G36" s="25">
        <f>'WORK OUT'!$H21/1000</f>
        <v>0</v>
      </c>
      <c r="H36" s="9">
        <f>'WORK OUT'!$I21</f>
        <v>0</v>
      </c>
      <c r="I36" s="16" t="e">
        <f>'WORK OUT'!$AB21</f>
        <v>#DIV/0!</v>
      </c>
      <c r="J36" s="63" t="e">
        <f t="shared" si="1"/>
        <v>#DIV/0!</v>
      </c>
    </row>
    <row r="37" spans="2:10" s="3" customFormat="1" ht="14">
      <c r="B37" s="61">
        <v>14</v>
      </c>
      <c r="C37" s="91">
        <f>'WORK OUT'!C22</f>
        <v>0</v>
      </c>
      <c r="D37" s="52">
        <f>'WORK OUT'!$D22</f>
        <v>0</v>
      </c>
      <c r="E37" s="8">
        <f>'WORK OUT'!$E22</f>
        <v>0</v>
      </c>
      <c r="F37" s="18"/>
      <c r="G37" s="25">
        <f>'WORK OUT'!$H22/1000</f>
        <v>0</v>
      </c>
      <c r="H37" s="9">
        <f>'WORK OUT'!$I22</f>
        <v>0</v>
      </c>
      <c r="I37" s="16" t="e">
        <f>'WORK OUT'!$AB22</f>
        <v>#DIV/0!</v>
      </c>
      <c r="J37" s="63" t="e">
        <f t="shared" si="1"/>
        <v>#DIV/0!</v>
      </c>
    </row>
    <row r="38" spans="2:10" s="3" customFormat="1" ht="14">
      <c r="B38" s="61">
        <v>15</v>
      </c>
      <c r="C38" s="91">
        <f>'WORK OUT'!C23</f>
        <v>0</v>
      </c>
      <c r="D38" s="52">
        <f>'WORK OUT'!$D23</f>
        <v>0</v>
      </c>
      <c r="E38" s="8">
        <f>'WORK OUT'!$E23</f>
        <v>0</v>
      </c>
      <c r="F38" s="18"/>
      <c r="G38" s="25">
        <f>'WORK OUT'!$H23/1000</f>
        <v>0</v>
      </c>
      <c r="H38" s="9">
        <f>'WORK OUT'!$I23</f>
        <v>0</v>
      </c>
      <c r="I38" s="16" t="e">
        <f>'WORK OUT'!$AB23</f>
        <v>#DIV/0!</v>
      </c>
      <c r="J38" s="63" t="e">
        <f>ROUND((G38*H38*I38),0)</f>
        <v>#DIV/0!</v>
      </c>
    </row>
    <row r="39" spans="2:10" s="3" customFormat="1" ht="14">
      <c r="B39" s="61">
        <v>16</v>
      </c>
      <c r="C39" s="91">
        <f>'WORK OUT'!C24</f>
        <v>0</v>
      </c>
      <c r="D39" s="52">
        <f>'WORK OUT'!$D24</f>
        <v>0</v>
      </c>
      <c r="E39" s="8">
        <f>'WORK OUT'!$E24</f>
        <v>0</v>
      </c>
      <c r="F39" s="18"/>
      <c r="G39" s="25">
        <f>'WORK OUT'!$H24/1000</f>
        <v>0</v>
      </c>
      <c r="H39" s="9">
        <f>'WORK OUT'!$I24</f>
        <v>0</v>
      </c>
      <c r="I39" s="16" t="e">
        <f>'WORK OUT'!$AB24</f>
        <v>#DIV/0!</v>
      </c>
      <c r="J39" s="63" t="e">
        <f>ROUND((G39*H39*I39),0)</f>
        <v>#DIV/0!</v>
      </c>
    </row>
    <row r="40" spans="2:10" s="3" customFormat="1" ht="14">
      <c r="B40" s="61">
        <v>17</v>
      </c>
      <c r="C40" s="91">
        <f>'WORK OUT'!C25</f>
        <v>0</v>
      </c>
      <c r="D40" s="52">
        <f>'WORK OUT'!$D25</f>
        <v>0</v>
      </c>
      <c r="E40" s="8">
        <f>'WORK OUT'!$E25</f>
        <v>0</v>
      </c>
      <c r="F40" s="18"/>
      <c r="G40" s="25">
        <f>'WORK OUT'!$H25/1000</f>
        <v>0</v>
      </c>
      <c r="H40" s="9">
        <f>'WORK OUT'!$I25</f>
        <v>0</v>
      </c>
      <c r="I40" s="16" t="e">
        <f>'WORK OUT'!$AB25</f>
        <v>#DIV/0!</v>
      </c>
      <c r="J40" s="63" t="e">
        <f>ROUND((G40*H40*I40),0)</f>
        <v>#DIV/0!</v>
      </c>
    </row>
    <row r="41" spans="2:10" s="3" customFormat="1" ht="14">
      <c r="B41" s="61">
        <v>18</v>
      </c>
      <c r="C41" s="91">
        <f>'WORK OUT'!C26</f>
        <v>0</v>
      </c>
      <c r="D41" s="52">
        <f>'WORK OUT'!$D26</f>
        <v>0</v>
      </c>
      <c r="E41" s="8">
        <f>'WORK OUT'!$E26</f>
        <v>0</v>
      </c>
      <c r="F41" s="18"/>
      <c r="G41" s="25">
        <f>'WORK OUT'!$H26/1000</f>
        <v>0</v>
      </c>
      <c r="H41" s="9">
        <f>'WORK OUT'!$I26</f>
        <v>0</v>
      </c>
      <c r="I41" s="16" t="e">
        <f>'WORK OUT'!$AB26</f>
        <v>#DIV/0!</v>
      </c>
      <c r="J41" s="63" t="e">
        <f>ROUND((G41*H41*I41),0)</f>
        <v>#DIV/0!</v>
      </c>
    </row>
    <row r="42" spans="2:10" s="3" customFormat="1" ht="14">
      <c r="B42" s="61"/>
      <c r="C42" s="394" t="s">
        <v>105</v>
      </c>
      <c r="D42" s="395"/>
      <c r="E42" s="395"/>
      <c r="F42" s="395"/>
      <c r="G42" s="396"/>
      <c r="H42" s="9"/>
      <c r="I42" s="16"/>
      <c r="J42" s="63"/>
    </row>
    <row r="43" spans="2:10" s="3" customFormat="1" ht="16.5" customHeight="1">
      <c r="B43" s="390" t="s">
        <v>97</v>
      </c>
      <c r="C43" s="391"/>
      <c r="D43" s="397" t="s">
        <v>239</v>
      </c>
      <c r="E43" s="397"/>
      <c r="F43" s="397"/>
      <c r="G43" s="398"/>
      <c r="H43" s="401" t="s">
        <v>20</v>
      </c>
      <c r="I43" s="402"/>
      <c r="J43" s="403" t="e">
        <f>SUM(J24:J42)</f>
        <v>#DIV/0!</v>
      </c>
    </row>
    <row r="44" spans="2:10" s="3" customFormat="1" ht="18.75" customHeight="1">
      <c r="B44" s="392"/>
      <c r="C44" s="393"/>
      <c r="D44" s="399"/>
      <c r="E44" s="399"/>
      <c r="F44" s="399"/>
      <c r="G44" s="400"/>
      <c r="H44" s="401"/>
      <c r="I44" s="402"/>
      <c r="J44" s="404"/>
    </row>
    <row r="45" spans="2:10" s="3" customFormat="1" ht="14">
      <c r="B45" s="10"/>
      <c r="C45" s="10"/>
      <c r="D45" s="10"/>
      <c r="E45" s="10"/>
      <c r="F45" s="10"/>
      <c r="G45" s="10"/>
      <c r="H45" s="11"/>
      <c r="I45" s="11"/>
      <c r="J45" s="12"/>
    </row>
    <row r="46" spans="2:10" s="3" customFormat="1" ht="14">
      <c r="B46" s="6"/>
      <c r="C46" s="288" t="s">
        <v>201</v>
      </c>
    </row>
    <row r="47" spans="2:10" s="3" customFormat="1" ht="14">
      <c r="B47" s="13" t="s">
        <v>104</v>
      </c>
      <c r="C47" s="3" t="s">
        <v>224</v>
      </c>
      <c r="G47" s="151"/>
      <c r="H47" s="151"/>
      <c r="I47" s="151"/>
      <c r="J47" s="151"/>
    </row>
    <row r="48" spans="2:10" s="3" customFormat="1" ht="14">
      <c r="B48" s="13" t="s">
        <v>220</v>
      </c>
      <c r="C48" s="3" t="s">
        <v>225</v>
      </c>
      <c r="G48" s="151"/>
      <c r="H48" s="151"/>
      <c r="I48" s="151"/>
      <c r="J48" s="151"/>
    </row>
    <row r="49" spans="2:10" s="3" customFormat="1" ht="14">
      <c r="B49" s="13" t="s">
        <v>221</v>
      </c>
      <c r="C49" s="3" t="s">
        <v>226</v>
      </c>
      <c r="G49" s="151"/>
      <c r="H49" s="151"/>
      <c r="I49" s="151"/>
      <c r="J49" s="151"/>
    </row>
    <row r="50" spans="2:10" s="3" customFormat="1" ht="14">
      <c r="B50" s="13" t="s">
        <v>222</v>
      </c>
      <c r="C50" s="3" t="s">
        <v>227</v>
      </c>
      <c r="G50" s="151"/>
      <c r="H50" s="151"/>
      <c r="I50" s="151"/>
      <c r="J50" s="151"/>
    </row>
    <row r="51" spans="2:10" s="3" customFormat="1" ht="14">
      <c r="B51" s="13" t="s">
        <v>223</v>
      </c>
      <c r="C51" s="3" t="s">
        <v>228</v>
      </c>
      <c r="G51" s="151"/>
      <c r="H51" s="151"/>
      <c r="I51" s="151"/>
      <c r="J51" s="151"/>
    </row>
    <row r="52" spans="2:10" s="3" customFormat="1" ht="14">
      <c r="B52" s="5"/>
    </row>
    <row r="53" spans="2:10" s="3" customFormat="1" ht="14">
      <c r="B53" s="5"/>
      <c r="C53" s="3" t="s">
        <v>203</v>
      </c>
    </row>
    <row r="54" spans="2:10">
      <c r="B54" s="5"/>
      <c r="C54" s="3" t="s">
        <v>204</v>
      </c>
      <c r="D54" s="3"/>
      <c r="E54" s="3"/>
      <c r="F54" s="3"/>
      <c r="G54" s="3"/>
      <c r="H54" s="3"/>
      <c r="I54" s="3"/>
      <c r="J54" s="3"/>
    </row>
    <row r="55" spans="2:10">
      <c r="B55" s="5"/>
      <c r="C55" s="3"/>
      <c r="D55" s="3"/>
      <c r="E55" s="3"/>
      <c r="F55" s="3"/>
      <c r="G55" s="3"/>
      <c r="H55" s="3"/>
      <c r="I55" s="3"/>
      <c r="J55" s="3"/>
    </row>
    <row r="56" spans="2:10">
      <c r="B56" s="5"/>
      <c r="C56" s="5" t="s">
        <v>52</v>
      </c>
      <c r="D56" s="3"/>
      <c r="E56" s="3"/>
      <c r="F56" s="3"/>
      <c r="G56" s="3"/>
      <c r="H56" s="3"/>
      <c r="I56" s="3"/>
      <c r="J56" s="3"/>
    </row>
    <row r="57" spans="2:10">
      <c r="B57" s="5"/>
      <c r="C57" s="5" t="s">
        <v>62</v>
      </c>
      <c r="D57" s="3"/>
      <c r="E57" s="3"/>
      <c r="F57" s="3"/>
      <c r="G57" s="3"/>
      <c r="H57" s="3"/>
      <c r="I57" s="3"/>
      <c r="J57" s="3"/>
    </row>
    <row r="58" spans="2:10">
      <c r="B58" s="2"/>
      <c r="C58" s="3"/>
      <c r="D58" s="3"/>
      <c r="E58" s="3"/>
      <c r="F58" s="3"/>
      <c r="G58" s="3"/>
      <c r="H58" s="3"/>
      <c r="I58" s="3"/>
      <c r="J58" s="3"/>
    </row>
    <row r="59" spans="2:10">
      <c r="B59" s="3"/>
      <c r="C59" s="3" t="s">
        <v>232</v>
      </c>
      <c r="D59" s="3"/>
      <c r="E59" s="3"/>
      <c r="F59" s="3"/>
      <c r="G59" s="3"/>
      <c r="H59" s="3"/>
      <c r="I59" s="3"/>
      <c r="J59" s="3"/>
    </row>
    <row r="60" spans="2:10">
      <c r="B60" s="3"/>
      <c r="C60" s="3" t="s">
        <v>231</v>
      </c>
      <c r="D60" s="3"/>
      <c r="E60" s="3"/>
      <c r="F60" s="3"/>
      <c r="G60" s="3"/>
      <c r="H60" s="3"/>
      <c r="I60" s="3"/>
      <c r="J60" s="3"/>
    </row>
  </sheetData>
  <mergeCells count="49">
    <mergeCell ref="B7:J7"/>
    <mergeCell ref="I10:J10"/>
    <mergeCell ref="AQ15:AS15"/>
    <mergeCell ref="DK15:DM15"/>
    <mergeCell ref="DS15:DU15"/>
    <mergeCell ref="CM15:CO15"/>
    <mergeCell ref="K15:M15"/>
    <mergeCell ref="AA15:AC15"/>
    <mergeCell ref="S15:U15"/>
    <mergeCell ref="BO15:BQ15"/>
    <mergeCell ref="C13:F13"/>
    <mergeCell ref="BW15:BY15"/>
    <mergeCell ref="B8:J8"/>
    <mergeCell ref="H2:J2"/>
    <mergeCell ref="E3:J3"/>
    <mergeCell ref="G4:J4"/>
    <mergeCell ref="H5:J5"/>
    <mergeCell ref="B6:G6"/>
    <mergeCell ref="H6:J6"/>
    <mergeCell ref="C3:D5"/>
    <mergeCell ref="IQ15:IS15"/>
    <mergeCell ref="FG15:FI15"/>
    <mergeCell ref="FO15:FQ15"/>
    <mergeCell ref="FW15:FY15"/>
    <mergeCell ref="GE15:GG15"/>
    <mergeCell ref="HC15:HE15"/>
    <mergeCell ref="HK15:HM15"/>
    <mergeCell ref="GU15:GW15"/>
    <mergeCell ref="II15:IK15"/>
    <mergeCell ref="HS15:HU15"/>
    <mergeCell ref="IA15:IC15"/>
    <mergeCell ref="B43:C44"/>
    <mergeCell ref="C42:G42"/>
    <mergeCell ref="D43:G44"/>
    <mergeCell ref="H43:I44"/>
    <mergeCell ref="J43:J44"/>
    <mergeCell ref="D16:F16"/>
    <mergeCell ref="D15:F15"/>
    <mergeCell ref="BG15:BI15"/>
    <mergeCell ref="CU15:CW15"/>
    <mergeCell ref="GM15:GO15"/>
    <mergeCell ref="EY15:FA15"/>
    <mergeCell ref="CE15:CG15"/>
    <mergeCell ref="AY15:BA15"/>
    <mergeCell ref="DC15:DE15"/>
    <mergeCell ref="AI15:AK15"/>
    <mergeCell ref="EI15:EK15"/>
    <mergeCell ref="EA15:EC15"/>
    <mergeCell ref="EQ15:ES15"/>
  </mergeCells>
  <printOptions horizontalCentered="1"/>
  <pageMargins left="0.31496062992125984" right="0.19685039370078741" top="0.23622047244094491" bottom="0.23622047244094491" header="0" footer="0.23622047244094491"/>
  <pageSetup paperSize="9" scale="82" orientation="portrait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S56"/>
  <sheetViews>
    <sheetView view="pageBreakPreview" topLeftCell="B1" zoomScaleSheetLayoutView="100" workbookViewId="0">
      <selection activeCell="G7" sqref="G7"/>
    </sheetView>
  </sheetViews>
  <sheetFormatPr defaultRowHeight="14.5"/>
  <cols>
    <col min="2" max="2" width="5.26953125" customWidth="1"/>
    <col min="3" max="3" width="19" style="200" customWidth="1"/>
    <col min="4" max="4" width="11.1796875" customWidth="1"/>
    <col min="5" max="5" width="8.453125" customWidth="1"/>
    <col min="6" max="6" width="37" customWidth="1"/>
    <col min="7" max="7" width="13.1796875" customWidth="1"/>
    <col min="8" max="8" width="10.54296875" customWidth="1"/>
    <col min="9" max="9" width="14.453125" customWidth="1"/>
    <col min="14" max="14" width="10.453125" customWidth="1"/>
    <col min="15" max="15" width="11" customWidth="1"/>
    <col min="16" max="16" width="9.26953125" customWidth="1"/>
  </cols>
  <sheetData>
    <row r="1" spans="2:19">
      <c r="B1" s="189"/>
    </row>
    <row r="2" spans="2:19" ht="25" customHeight="1">
      <c r="B2" s="266"/>
      <c r="C2" s="435" t="s">
        <v>193</v>
      </c>
      <c r="D2" s="435"/>
      <c r="E2" s="435"/>
      <c r="F2" s="417" t="s">
        <v>186</v>
      </c>
      <c r="G2" s="417"/>
      <c r="H2" s="417"/>
      <c r="I2" s="417"/>
    </row>
    <row r="3" spans="2:19" ht="25" customHeight="1">
      <c r="B3" s="266"/>
      <c r="C3" s="435"/>
      <c r="D3" s="435"/>
      <c r="E3" s="435"/>
      <c r="F3" s="265"/>
      <c r="G3" s="265"/>
      <c r="H3" s="265"/>
      <c r="I3" s="265"/>
    </row>
    <row r="4" spans="2:19" ht="16">
      <c r="B4" s="439" t="s">
        <v>213</v>
      </c>
      <c r="C4" s="439"/>
      <c r="D4" s="439"/>
      <c r="E4" s="439"/>
      <c r="F4" s="439"/>
      <c r="G4" s="443" t="s">
        <v>191</v>
      </c>
      <c r="H4" s="444"/>
      <c r="I4" s="444"/>
      <c r="K4" s="345" t="s">
        <v>253</v>
      </c>
    </row>
    <row r="5" spans="2:19" ht="14.5" customHeight="1">
      <c r="B5" s="436"/>
      <c r="C5" s="436"/>
      <c r="D5" s="436"/>
      <c r="E5" s="436"/>
      <c r="F5" s="436"/>
      <c r="G5" s="436"/>
      <c r="H5" s="436"/>
      <c r="I5" s="436"/>
      <c r="K5" s="433"/>
      <c r="L5" s="434"/>
    </row>
    <row r="6" spans="2:19" ht="15" customHeight="1">
      <c r="B6" s="184"/>
      <c r="F6" s="3"/>
      <c r="G6" s="290" t="s">
        <v>179</v>
      </c>
      <c r="H6" s="437" t="s">
        <v>184</v>
      </c>
      <c r="I6" s="437"/>
      <c r="K6" s="346" t="s">
        <v>254</v>
      </c>
      <c r="L6" s="347"/>
      <c r="M6" s="347"/>
    </row>
    <row r="7" spans="2:19" ht="16" customHeight="1">
      <c r="B7" s="184"/>
      <c r="C7" s="198"/>
      <c r="D7" s="198"/>
      <c r="E7" s="198"/>
      <c r="F7" s="198"/>
      <c r="G7" s="295" t="s">
        <v>94</v>
      </c>
      <c r="H7" s="438" t="s">
        <v>243</v>
      </c>
      <c r="I7" s="438"/>
      <c r="K7" s="430"/>
      <c r="L7" s="431"/>
      <c r="M7" s="431"/>
      <c r="N7" s="431"/>
      <c r="O7" s="432"/>
    </row>
    <row r="8" spans="2:19" s="3" customFormat="1" ht="15" customHeight="1">
      <c r="B8" s="184"/>
      <c r="C8" s="289" t="s">
        <v>192</v>
      </c>
      <c r="D8" s="203"/>
      <c r="E8" s="203"/>
      <c r="F8" s="198"/>
      <c r="G8" s="446" t="s">
        <v>187</v>
      </c>
      <c r="H8" s="446"/>
      <c r="I8" s="446"/>
      <c r="K8" s="449" t="s">
        <v>255</v>
      </c>
      <c r="L8" s="449"/>
      <c r="M8" s="449"/>
    </row>
    <row r="9" spans="2:19" s="3" customFormat="1" ht="19.5" customHeight="1">
      <c r="B9" s="184"/>
      <c r="C9" s="428"/>
      <c r="D9" s="428"/>
      <c r="E9" s="428"/>
      <c r="F9" s="428"/>
      <c r="G9" s="447" t="s">
        <v>160</v>
      </c>
      <c r="H9" s="447"/>
      <c r="I9" s="447"/>
      <c r="K9" s="440"/>
      <c r="L9" s="441"/>
      <c r="M9" s="441"/>
      <c r="N9" s="441"/>
      <c r="O9" s="442"/>
    </row>
    <row r="10" spans="2:19" s="3" customFormat="1" ht="15" customHeight="1">
      <c r="B10" s="2"/>
      <c r="C10" s="429"/>
      <c r="D10" s="429"/>
      <c r="E10" s="429"/>
      <c r="F10" s="429"/>
      <c r="G10" s="448" t="s">
        <v>188</v>
      </c>
      <c r="H10" s="448"/>
      <c r="I10" s="448"/>
      <c r="K10" s="345" t="s">
        <v>256</v>
      </c>
    </row>
    <row r="11" spans="2:19" s="3" customFormat="1" ht="15" customHeight="1">
      <c r="B11" s="2"/>
      <c r="C11" s="429"/>
      <c r="D11" s="429"/>
      <c r="E11" s="429"/>
      <c r="F11" s="429"/>
      <c r="G11" s="448" t="s">
        <v>189</v>
      </c>
      <c r="H11" s="448"/>
      <c r="I11" s="448"/>
      <c r="K11" s="450"/>
      <c r="L11" s="451"/>
      <c r="M11" s="451"/>
      <c r="N11" s="451"/>
      <c r="O11" s="452"/>
    </row>
    <row r="12" spans="2:19" s="3" customFormat="1" ht="15" customHeight="1">
      <c r="B12" s="2"/>
      <c r="C12" s="429"/>
      <c r="D12" s="429"/>
      <c r="E12" s="429"/>
      <c r="F12" s="429"/>
      <c r="G12" s="419" t="s">
        <v>190</v>
      </c>
      <c r="H12" s="419"/>
      <c r="I12" s="419"/>
      <c r="K12" s="453"/>
      <c r="L12" s="454"/>
      <c r="M12" s="454"/>
      <c r="N12" s="454"/>
      <c r="O12" s="455"/>
    </row>
    <row r="13" spans="2:19" s="3" customFormat="1" ht="15" customHeight="1">
      <c r="B13" s="24"/>
      <c r="C13" s="429"/>
      <c r="D13" s="429"/>
      <c r="E13" s="429"/>
      <c r="F13" s="429"/>
      <c r="G13" s="418" t="s">
        <v>210</v>
      </c>
      <c r="H13" s="418"/>
      <c r="I13" s="418"/>
      <c r="K13" s="453"/>
      <c r="L13" s="454"/>
      <c r="M13" s="454"/>
      <c r="N13" s="454"/>
      <c r="O13" s="455"/>
    </row>
    <row r="14" spans="2:19" s="3" customFormat="1" ht="15" customHeight="1">
      <c r="B14" s="199"/>
      <c r="C14" s="445"/>
      <c r="D14" s="445"/>
      <c r="E14" s="445"/>
      <c r="F14" s="445"/>
      <c r="G14" s="419" t="s">
        <v>212</v>
      </c>
      <c r="H14" s="419"/>
      <c r="I14" s="419"/>
      <c r="K14" s="456"/>
      <c r="L14" s="457"/>
      <c r="M14" s="457"/>
      <c r="N14" s="457"/>
      <c r="O14" s="458"/>
      <c r="P14" s="154" t="s">
        <v>257</v>
      </c>
      <c r="Q14" s="440"/>
      <c r="R14" s="441"/>
      <c r="S14" s="442"/>
    </row>
    <row r="15" spans="2:19" s="3" customFormat="1" ht="15.5">
      <c r="B15" s="24"/>
      <c r="C15" s="201" t="s">
        <v>65</v>
      </c>
      <c r="D15" s="424" t="str">
        <f>'WORK OUT'!N2</f>
        <v>Mr.</v>
      </c>
      <c r="E15" s="424"/>
      <c r="F15" s="424"/>
      <c r="G15" s="419" t="s">
        <v>219</v>
      </c>
      <c r="H15" s="419"/>
      <c r="I15" s="419"/>
      <c r="K15" s="345" t="s">
        <v>258</v>
      </c>
      <c r="L15" s="345"/>
      <c r="M15" s="345"/>
    </row>
    <row r="16" spans="2:19" s="3" customFormat="1" ht="15.5">
      <c r="B16" s="2"/>
      <c r="C16" s="202" t="s">
        <v>56</v>
      </c>
      <c r="D16" s="425" t="s">
        <v>206</v>
      </c>
      <c r="E16" s="425"/>
      <c r="F16" s="425"/>
      <c r="G16" s="418" t="s">
        <v>209</v>
      </c>
      <c r="H16" s="418"/>
      <c r="I16" s="418"/>
      <c r="J16" s="4"/>
      <c r="K16" s="440"/>
      <c r="L16" s="441"/>
      <c r="M16" s="441"/>
      <c r="N16" s="441"/>
      <c r="O16" s="442"/>
      <c r="P16" s="344"/>
    </row>
    <row r="17" spans="2:15" s="3" customFormat="1" ht="15.75" customHeight="1">
      <c r="B17" s="2"/>
      <c r="C17" s="202" t="s">
        <v>202</v>
      </c>
      <c r="D17" s="419" t="s">
        <v>89</v>
      </c>
      <c r="E17" s="419"/>
      <c r="F17" s="419"/>
      <c r="G17" s="419" t="s">
        <v>230</v>
      </c>
      <c r="H17" s="419"/>
      <c r="I17" s="419"/>
      <c r="J17" s="4"/>
      <c r="K17" s="345" t="s">
        <v>259</v>
      </c>
    </row>
    <row r="18" spans="2:15" s="3" customFormat="1" ht="15.5">
      <c r="B18" s="5"/>
      <c r="C18" s="191"/>
      <c r="D18" s="35"/>
      <c r="E18" s="35"/>
      <c r="F18" s="35"/>
      <c r="G18" s="35" t="s">
        <v>231</v>
      </c>
      <c r="H18" s="35"/>
      <c r="I18" s="35"/>
      <c r="K18" s="440"/>
      <c r="L18" s="441"/>
      <c r="M18" s="441"/>
      <c r="N18" s="441"/>
      <c r="O18" s="442"/>
    </row>
    <row r="19" spans="2:15" s="3" customFormat="1" ht="15.5">
      <c r="B19" s="6"/>
      <c r="C19" s="191"/>
      <c r="D19" s="35"/>
      <c r="E19" s="35"/>
      <c r="F19" s="35"/>
      <c r="G19" s="35"/>
      <c r="H19" s="35"/>
      <c r="I19" s="35"/>
    </row>
    <row r="20" spans="2:15" s="3" customFormat="1" ht="43.5" customHeight="1">
      <c r="B20" s="291" t="s">
        <v>205</v>
      </c>
      <c r="C20" s="194" t="s">
        <v>90</v>
      </c>
      <c r="D20" s="194" t="s">
        <v>17</v>
      </c>
      <c r="E20" s="292" t="s">
        <v>63</v>
      </c>
      <c r="F20" s="194" t="s">
        <v>21</v>
      </c>
      <c r="G20" s="292" t="s">
        <v>67</v>
      </c>
      <c r="H20" s="194" t="s">
        <v>93</v>
      </c>
      <c r="I20" s="293" t="s">
        <v>185</v>
      </c>
      <c r="K20" s="155" t="s">
        <v>166</v>
      </c>
      <c r="L20" s="155" t="s">
        <v>165</v>
      </c>
      <c r="M20" s="86" t="s">
        <v>67</v>
      </c>
      <c r="N20" s="87" t="s">
        <v>93</v>
      </c>
      <c r="O20" s="74" t="s">
        <v>61</v>
      </c>
    </row>
    <row r="21" spans="2:15" s="3" customFormat="1" ht="15.75" customHeight="1">
      <c r="B21" s="267"/>
      <c r="C21" s="268"/>
      <c r="D21" s="269"/>
      <c r="E21" s="270"/>
      <c r="F21" s="297"/>
      <c r="G21" s="271"/>
      <c r="H21" s="273"/>
      <c r="I21" s="195"/>
      <c r="K21" s="153"/>
      <c r="L21" s="276">
        <v>10</v>
      </c>
      <c r="M21" s="152"/>
      <c r="N21" s="9"/>
      <c r="O21" s="63"/>
    </row>
    <row r="22" spans="2:15" s="3" customFormat="1" ht="15.5">
      <c r="B22" s="267">
        <v>1</v>
      </c>
      <c r="C22" s="275">
        <f>'WORK OUT'!$C9</f>
        <v>0</v>
      </c>
      <c r="D22" s="269">
        <f>'WORK OUT'!$D9</f>
        <v>0</v>
      </c>
      <c r="E22" s="270">
        <f>'WORK OUT'!$E9</f>
        <v>0</v>
      </c>
      <c r="F22" s="273"/>
      <c r="G22" s="272" t="e">
        <f>K22</f>
        <v>#DIV/0!</v>
      </c>
      <c r="H22" s="273">
        <f>'WORK OUT'!$I9</f>
        <v>0</v>
      </c>
      <c r="I22" s="195" t="e">
        <f>G22*H22</f>
        <v>#DIV/0!</v>
      </c>
      <c r="K22" s="156" t="e">
        <f>M22-L22</f>
        <v>#DIV/0!</v>
      </c>
      <c r="L22" s="154" t="e">
        <f>M22*(L$21/100)</f>
        <v>#DIV/0!</v>
      </c>
      <c r="M22" s="49" t="e">
        <f>'WORK OUT'!$R9</f>
        <v>#DIV/0!</v>
      </c>
      <c r="N22" s="9">
        <f>'WORK OUT'!$I9</f>
        <v>0</v>
      </c>
      <c r="O22" s="63" t="e">
        <f>M22*N22</f>
        <v>#DIV/0!</v>
      </c>
    </row>
    <row r="23" spans="2:15" s="48" customFormat="1" ht="15.65" customHeight="1">
      <c r="B23" s="267"/>
      <c r="C23" s="275">
        <f>'WORK OUT'!$C10</f>
        <v>0</v>
      </c>
      <c r="D23" s="269">
        <f>'WORK OUT'!$D10</f>
        <v>0</v>
      </c>
      <c r="E23" s="270">
        <f>'WORK OUT'!$E10</f>
        <v>0</v>
      </c>
      <c r="F23" s="273"/>
      <c r="G23" s="272" t="e">
        <f t="shared" ref="G23:G38" si="0">K23</f>
        <v>#DIV/0!</v>
      </c>
      <c r="H23" s="273">
        <f>'WORK OUT'!$I10</f>
        <v>0</v>
      </c>
      <c r="I23" s="195" t="e">
        <f t="shared" ref="I23:I38" si="1">G23*H23</f>
        <v>#DIV/0!</v>
      </c>
      <c r="J23" s="193"/>
      <c r="K23" s="185" t="e">
        <f t="shared" ref="K23:K34" si="2">M23-L23</f>
        <v>#DIV/0!</v>
      </c>
      <c r="L23" s="154" t="e">
        <f t="shared" ref="L23:L38" si="3">M23*(L$21/100)</f>
        <v>#DIV/0!</v>
      </c>
      <c r="M23" s="49" t="e">
        <f>'WORK OUT'!$R10</f>
        <v>#DIV/0!</v>
      </c>
      <c r="N23" s="9">
        <f>'WORK OUT'!$I10</f>
        <v>0</v>
      </c>
      <c r="O23" s="63" t="e">
        <f>M23*N23</f>
        <v>#DIV/0!</v>
      </c>
    </row>
    <row r="24" spans="2:15" s="3" customFormat="1" ht="15.65" customHeight="1">
      <c r="B24" s="267"/>
      <c r="C24" s="275">
        <f>'WORK OUT'!$C11</f>
        <v>0</v>
      </c>
      <c r="D24" s="269">
        <f>'WORK OUT'!$D11</f>
        <v>0</v>
      </c>
      <c r="E24" s="270">
        <f>'WORK OUT'!$E11</f>
        <v>0</v>
      </c>
      <c r="F24" s="273"/>
      <c r="G24" s="272" t="e">
        <f t="shared" si="0"/>
        <v>#DIV/0!</v>
      </c>
      <c r="H24" s="273">
        <f>'WORK OUT'!$I11</f>
        <v>0</v>
      </c>
      <c r="I24" s="195" t="e">
        <f t="shared" si="1"/>
        <v>#DIV/0!</v>
      </c>
      <c r="J24" s="66"/>
      <c r="K24" s="156" t="e">
        <f t="shared" si="2"/>
        <v>#DIV/0!</v>
      </c>
      <c r="L24" s="154" t="e">
        <f t="shared" si="3"/>
        <v>#DIV/0!</v>
      </c>
      <c r="M24" s="49" t="e">
        <f>'WORK OUT'!$R11</f>
        <v>#DIV/0!</v>
      </c>
      <c r="N24" s="9">
        <f>'WORK OUT'!$I11</f>
        <v>0</v>
      </c>
      <c r="O24" s="63" t="e">
        <f>M24*N24</f>
        <v>#DIV/0!</v>
      </c>
    </row>
    <row r="25" spans="2:15" s="3" customFormat="1" ht="15.65" customHeight="1">
      <c r="B25" s="267"/>
      <c r="C25" s="275">
        <f>'WORK OUT'!$C12</f>
        <v>0</v>
      </c>
      <c r="D25" s="269">
        <f>'WORK OUT'!$D12</f>
        <v>0</v>
      </c>
      <c r="E25" s="270">
        <f>'WORK OUT'!$E12</f>
        <v>0</v>
      </c>
      <c r="F25" s="273"/>
      <c r="G25" s="272" t="e">
        <f t="shared" si="0"/>
        <v>#DIV/0!</v>
      </c>
      <c r="H25" s="273">
        <f>'WORK OUT'!$I12</f>
        <v>0</v>
      </c>
      <c r="I25" s="195" t="e">
        <f t="shared" si="1"/>
        <v>#DIV/0!</v>
      </c>
      <c r="J25" s="66"/>
      <c r="K25" s="156" t="e">
        <f t="shared" si="2"/>
        <v>#DIV/0!</v>
      </c>
      <c r="L25" s="154" t="e">
        <f t="shared" si="3"/>
        <v>#DIV/0!</v>
      </c>
      <c r="M25" s="49" t="e">
        <f>'WORK OUT'!$R12</f>
        <v>#DIV/0!</v>
      </c>
      <c r="N25" s="9">
        <f>'WORK OUT'!$I12</f>
        <v>0</v>
      </c>
      <c r="O25" s="63" t="e">
        <f t="shared" ref="O25:O34" si="4">M25*N25</f>
        <v>#DIV/0!</v>
      </c>
    </row>
    <row r="26" spans="2:15" s="3" customFormat="1" ht="15.65" customHeight="1">
      <c r="B26" s="267"/>
      <c r="C26" s="275">
        <f>'WORK OUT'!$C13</f>
        <v>0</v>
      </c>
      <c r="D26" s="269">
        <f>'WORK OUT'!$D13</f>
        <v>0</v>
      </c>
      <c r="E26" s="270">
        <f>'WORK OUT'!$E13</f>
        <v>0</v>
      </c>
      <c r="F26" s="273"/>
      <c r="G26" s="272" t="e">
        <f t="shared" si="0"/>
        <v>#DIV/0!</v>
      </c>
      <c r="H26" s="273">
        <f>'WORK OUT'!$I13</f>
        <v>0</v>
      </c>
      <c r="I26" s="195" t="e">
        <f t="shared" si="1"/>
        <v>#DIV/0!</v>
      </c>
      <c r="J26" s="66"/>
      <c r="K26" s="156" t="e">
        <f t="shared" si="2"/>
        <v>#DIV/0!</v>
      </c>
      <c r="L26" s="154" t="e">
        <f t="shared" si="3"/>
        <v>#DIV/0!</v>
      </c>
      <c r="M26" s="49" t="e">
        <f>'WORK OUT'!$R13</f>
        <v>#DIV/0!</v>
      </c>
      <c r="N26" s="9">
        <f>'WORK OUT'!$I13</f>
        <v>0</v>
      </c>
      <c r="O26" s="63" t="e">
        <f t="shared" si="4"/>
        <v>#DIV/0!</v>
      </c>
    </row>
    <row r="27" spans="2:15" s="3" customFormat="1" ht="15.5">
      <c r="B27" s="267"/>
      <c r="C27" s="275">
        <f>'WORK OUT'!$C14</f>
        <v>0</v>
      </c>
      <c r="D27" s="269">
        <f>'WORK OUT'!$D14</f>
        <v>0</v>
      </c>
      <c r="E27" s="270">
        <f>'WORK OUT'!$E14</f>
        <v>0</v>
      </c>
      <c r="F27" s="273"/>
      <c r="G27" s="272" t="e">
        <f t="shared" si="0"/>
        <v>#DIV/0!</v>
      </c>
      <c r="H27" s="273">
        <f>'WORK OUT'!$I14</f>
        <v>0</v>
      </c>
      <c r="I27" s="195" t="e">
        <f t="shared" si="1"/>
        <v>#DIV/0!</v>
      </c>
      <c r="J27" s="66"/>
      <c r="K27" s="156" t="e">
        <f t="shared" si="2"/>
        <v>#DIV/0!</v>
      </c>
      <c r="L27" s="154" t="e">
        <f t="shared" si="3"/>
        <v>#DIV/0!</v>
      </c>
      <c r="M27" s="49" t="e">
        <f>'WORK OUT'!$R14</f>
        <v>#DIV/0!</v>
      </c>
      <c r="N27" s="9">
        <f>'WORK OUT'!$I14</f>
        <v>0</v>
      </c>
      <c r="O27" s="63" t="e">
        <f t="shared" si="4"/>
        <v>#DIV/0!</v>
      </c>
    </row>
    <row r="28" spans="2:15" s="3" customFormat="1" ht="15.65" customHeight="1">
      <c r="B28" s="267"/>
      <c r="C28" s="275">
        <f>'WORK OUT'!$C15</f>
        <v>0</v>
      </c>
      <c r="D28" s="269">
        <f>'WORK OUT'!$D15</f>
        <v>0</v>
      </c>
      <c r="E28" s="270">
        <f>'WORK OUT'!$E15</f>
        <v>0</v>
      </c>
      <c r="F28" s="273"/>
      <c r="G28" s="272" t="e">
        <f t="shared" si="0"/>
        <v>#DIV/0!</v>
      </c>
      <c r="H28" s="273">
        <f>'WORK OUT'!$I15</f>
        <v>0</v>
      </c>
      <c r="I28" s="195" t="e">
        <f t="shared" si="1"/>
        <v>#DIV/0!</v>
      </c>
      <c r="J28" s="66"/>
      <c r="K28" s="156" t="e">
        <f t="shared" si="2"/>
        <v>#DIV/0!</v>
      </c>
      <c r="L28" s="154" t="e">
        <f t="shared" si="3"/>
        <v>#DIV/0!</v>
      </c>
      <c r="M28" s="49" t="e">
        <f>'WORK OUT'!$R15</f>
        <v>#DIV/0!</v>
      </c>
      <c r="N28" s="9">
        <f>'WORK OUT'!$I15</f>
        <v>0</v>
      </c>
      <c r="O28" s="63" t="e">
        <f t="shared" si="4"/>
        <v>#DIV/0!</v>
      </c>
    </row>
    <row r="29" spans="2:15" s="3" customFormat="1" ht="15.65" customHeight="1">
      <c r="B29" s="267"/>
      <c r="C29" s="275">
        <f>'WORK OUT'!$C16</f>
        <v>0</v>
      </c>
      <c r="D29" s="269">
        <f>'WORK OUT'!$D16</f>
        <v>0</v>
      </c>
      <c r="E29" s="270">
        <f>'WORK OUT'!$E16</f>
        <v>0</v>
      </c>
      <c r="F29" s="273"/>
      <c r="G29" s="272" t="e">
        <f t="shared" si="0"/>
        <v>#DIV/0!</v>
      </c>
      <c r="H29" s="273">
        <f>'WORK OUT'!$I16</f>
        <v>0</v>
      </c>
      <c r="I29" s="195" t="e">
        <f t="shared" si="1"/>
        <v>#DIV/0!</v>
      </c>
      <c r="J29" s="66"/>
      <c r="K29" s="156" t="e">
        <f t="shared" si="2"/>
        <v>#DIV/0!</v>
      </c>
      <c r="L29" s="154" t="e">
        <f t="shared" si="3"/>
        <v>#DIV/0!</v>
      </c>
      <c r="M29" s="49" t="e">
        <f>'WORK OUT'!$R16</f>
        <v>#DIV/0!</v>
      </c>
      <c r="N29" s="9">
        <f>'WORK OUT'!$I16</f>
        <v>0</v>
      </c>
      <c r="O29" s="63" t="e">
        <f t="shared" si="4"/>
        <v>#DIV/0!</v>
      </c>
    </row>
    <row r="30" spans="2:15" s="3" customFormat="1" ht="15.65" customHeight="1">
      <c r="B30" s="267"/>
      <c r="C30" s="275">
        <f>'WORK OUT'!$C17</f>
        <v>0</v>
      </c>
      <c r="D30" s="269">
        <f>'WORK OUT'!$D17</f>
        <v>0</v>
      </c>
      <c r="E30" s="270">
        <f>'WORK OUT'!$E17</f>
        <v>0</v>
      </c>
      <c r="F30" s="273"/>
      <c r="G30" s="272" t="e">
        <f t="shared" si="0"/>
        <v>#DIV/0!</v>
      </c>
      <c r="H30" s="273">
        <f>'WORK OUT'!$I17</f>
        <v>0</v>
      </c>
      <c r="I30" s="195" t="e">
        <f t="shared" si="1"/>
        <v>#DIV/0!</v>
      </c>
      <c r="J30" s="66"/>
      <c r="K30" s="156" t="e">
        <f t="shared" si="2"/>
        <v>#DIV/0!</v>
      </c>
      <c r="L30" s="154" t="e">
        <f t="shared" si="3"/>
        <v>#DIV/0!</v>
      </c>
      <c r="M30" s="49" t="e">
        <f>'WORK OUT'!$R17</f>
        <v>#DIV/0!</v>
      </c>
      <c r="N30" s="9">
        <f>'WORK OUT'!$I17</f>
        <v>0</v>
      </c>
      <c r="O30" s="63" t="e">
        <f t="shared" si="4"/>
        <v>#DIV/0!</v>
      </c>
    </row>
    <row r="31" spans="2:15" s="3" customFormat="1" ht="15.65" customHeight="1">
      <c r="B31" s="267"/>
      <c r="C31" s="275">
        <f>'WORK OUT'!$C18</f>
        <v>0</v>
      </c>
      <c r="D31" s="269">
        <f>'WORK OUT'!$D18</f>
        <v>0</v>
      </c>
      <c r="E31" s="270">
        <f>'WORK OUT'!$E18</f>
        <v>0</v>
      </c>
      <c r="F31" s="273"/>
      <c r="G31" s="272" t="e">
        <f t="shared" si="0"/>
        <v>#DIV/0!</v>
      </c>
      <c r="H31" s="273">
        <f>'WORK OUT'!$I18</f>
        <v>0</v>
      </c>
      <c r="I31" s="195" t="e">
        <f t="shared" si="1"/>
        <v>#DIV/0!</v>
      </c>
      <c r="J31" s="66"/>
      <c r="K31" s="156" t="e">
        <f t="shared" si="2"/>
        <v>#DIV/0!</v>
      </c>
      <c r="L31" s="154" t="e">
        <f t="shared" si="3"/>
        <v>#DIV/0!</v>
      </c>
      <c r="M31" s="49" t="e">
        <f>'WORK OUT'!$R18</f>
        <v>#DIV/0!</v>
      </c>
      <c r="N31" s="9">
        <f>'WORK OUT'!$I18</f>
        <v>0</v>
      </c>
      <c r="O31" s="63" t="e">
        <f t="shared" si="4"/>
        <v>#DIV/0!</v>
      </c>
    </row>
    <row r="32" spans="2:15" s="3" customFormat="1" ht="15.65" customHeight="1">
      <c r="B32" s="267"/>
      <c r="C32" s="275">
        <f>'WORK OUT'!$C19</f>
        <v>0</v>
      </c>
      <c r="D32" s="269">
        <f>'WORK OUT'!$D19</f>
        <v>0</v>
      </c>
      <c r="E32" s="270">
        <f>'WORK OUT'!$E19</f>
        <v>0</v>
      </c>
      <c r="F32" s="273"/>
      <c r="G32" s="272" t="e">
        <f t="shared" si="0"/>
        <v>#DIV/0!</v>
      </c>
      <c r="H32" s="273">
        <f>'WORK OUT'!$I19</f>
        <v>0</v>
      </c>
      <c r="I32" s="195" t="e">
        <f t="shared" si="1"/>
        <v>#DIV/0!</v>
      </c>
      <c r="J32" s="66"/>
      <c r="K32" s="156" t="e">
        <f t="shared" si="2"/>
        <v>#DIV/0!</v>
      </c>
      <c r="L32" s="154" t="e">
        <f t="shared" si="3"/>
        <v>#DIV/0!</v>
      </c>
      <c r="M32" s="49" t="e">
        <f>'WORK OUT'!$R19</f>
        <v>#DIV/0!</v>
      </c>
      <c r="N32" s="9">
        <f>'WORK OUT'!$I19</f>
        <v>0</v>
      </c>
      <c r="O32" s="63" t="e">
        <f t="shared" si="4"/>
        <v>#DIV/0!</v>
      </c>
    </row>
    <row r="33" spans="2:15" s="3" customFormat="1" ht="15.65" customHeight="1">
      <c r="B33" s="267"/>
      <c r="C33" s="275">
        <f>'WORK OUT'!$C20</f>
        <v>0</v>
      </c>
      <c r="D33" s="269">
        <f>'WORK OUT'!$D20</f>
        <v>0</v>
      </c>
      <c r="E33" s="270">
        <f>'WORK OUT'!$E20</f>
        <v>0</v>
      </c>
      <c r="F33" s="273"/>
      <c r="G33" s="272" t="e">
        <f t="shared" si="0"/>
        <v>#DIV/0!</v>
      </c>
      <c r="H33" s="273">
        <f>'WORK OUT'!$I20</f>
        <v>0</v>
      </c>
      <c r="I33" s="195" t="e">
        <f t="shared" si="1"/>
        <v>#DIV/0!</v>
      </c>
      <c r="J33" s="66"/>
      <c r="K33" s="156" t="e">
        <f t="shared" si="2"/>
        <v>#DIV/0!</v>
      </c>
      <c r="L33" s="154" t="e">
        <f t="shared" si="3"/>
        <v>#DIV/0!</v>
      </c>
      <c r="M33" s="49" t="e">
        <f>'WORK OUT'!$R20</f>
        <v>#DIV/0!</v>
      </c>
      <c r="N33" s="9">
        <f>'WORK OUT'!$I20</f>
        <v>0</v>
      </c>
      <c r="O33" s="63" t="e">
        <f t="shared" si="4"/>
        <v>#DIV/0!</v>
      </c>
    </row>
    <row r="34" spans="2:15" s="3" customFormat="1" ht="15.5">
      <c r="B34" s="267"/>
      <c r="C34" s="275">
        <f>'WORK OUT'!$C21</f>
        <v>0</v>
      </c>
      <c r="D34" s="269">
        <f>'WORK OUT'!$D21</f>
        <v>0</v>
      </c>
      <c r="E34" s="270">
        <f>'WORK OUT'!$E21</f>
        <v>0</v>
      </c>
      <c r="F34" s="273"/>
      <c r="G34" s="272" t="e">
        <f t="shared" si="0"/>
        <v>#DIV/0!</v>
      </c>
      <c r="H34" s="273">
        <f>'WORK OUT'!$I21</f>
        <v>0</v>
      </c>
      <c r="I34" s="195" t="e">
        <f t="shared" si="1"/>
        <v>#DIV/0!</v>
      </c>
      <c r="J34" s="66"/>
      <c r="K34" s="156" t="e">
        <f t="shared" si="2"/>
        <v>#DIV/0!</v>
      </c>
      <c r="L34" s="154" t="e">
        <f t="shared" si="3"/>
        <v>#DIV/0!</v>
      </c>
      <c r="M34" s="49" t="e">
        <f>'WORK OUT'!$R21</f>
        <v>#DIV/0!</v>
      </c>
      <c r="N34" s="9">
        <f>'WORK OUT'!$I21</f>
        <v>0</v>
      </c>
      <c r="O34" s="63" t="e">
        <f t="shared" si="4"/>
        <v>#DIV/0!</v>
      </c>
    </row>
    <row r="35" spans="2:15" s="3" customFormat="1" ht="15.65" customHeight="1">
      <c r="B35" s="267"/>
      <c r="C35" s="275">
        <f>'WORK OUT'!$C22</f>
        <v>0</v>
      </c>
      <c r="D35" s="269">
        <f>'WORK OUT'!$D22</f>
        <v>0</v>
      </c>
      <c r="E35" s="270">
        <f>'WORK OUT'!$E22</f>
        <v>0</v>
      </c>
      <c r="F35" s="273"/>
      <c r="G35" s="272" t="e">
        <f t="shared" si="0"/>
        <v>#DIV/0!</v>
      </c>
      <c r="H35" s="273">
        <f>'WORK OUT'!$I22</f>
        <v>0</v>
      </c>
      <c r="I35" s="195" t="e">
        <f t="shared" si="1"/>
        <v>#DIV/0!</v>
      </c>
      <c r="J35" s="66"/>
      <c r="K35" s="156" t="e">
        <f>M35-L35</f>
        <v>#DIV/0!</v>
      </c>
      <c r="L35" s="154" t="e">
        <f t="shared" si="3"/>
        <v>#DIV/0!</v>
      </c>
      <c r="M35" s="49" t="e">
        <f>'WORK OUT'!$R22</f>
        <v>#DIV/0!</v>
      </c>
      <c r="N35" s="9">
        <f>'WORK OUT'!$I22</f>
        <v>0</v>
      </c>
      <c r="O35" s="63" t="e">
        <f>M35*N35</f>
        <v>#DIV/0!</v>
      </c>
    </row>
    <row r="36" spans="2:15" s="3" customFormat="1" ht="15.65" customHeight="1">
      <c r="B36" s="267"/>
      <c r="C36" s="275">
        <f>'WORK OUT'!$C23</f>
        <v>0</v>
      </c>
      <c r="D36" s="269">
        <f>'WORK OUT'!$D23</f>
        <v>0</v>
      </c>
      <c r="E36" s="270">
        <f>'WORK OUT'!$E23</f>
        <v>0</v>
      </c>
      <c r="F36" s="273"/>
      <c r="G36" s="272" t="e">
        <f t="shared" si="0"/>
        <v>#DIV/0!</v>
      </c>
      <c r="H36" s="273">
        <f>'WORK OUT'!$I23</f>
        <v>0</v>
      </c>
      <c r="I36" s="195" t="e">
        <f t="shared" si="1"/>
        <v>#DIV/0!</v>
      </c>
      <c r="K36" s="156" t="e">
        <f>M36-L36</f>
        <v>#DIV/0!</v>
      </c>
      <c r="L36" s="154" t="e">
        <f t="shared" si="3"/>
        <v>#DIV/0!</v>
      </c>
      <c r="M36" s="49" t="e">
        <f>'WORK OUT'!$R23</f>
        <v>#DIV/0!</v>
      </c>
      <c r="N36" s="9">
        <f>'WORK OUT'!$I23</f>
        <v>0</v>
      </c>
      <c r="O36" s="63" t="e">
        <f>M36*N36</f>
        <v>#DIV/0!</v>
      </c>
    </row>
    <row r="37" spans="2:15" s="3" customFormat="1" ht="15.5">
      <c r="B37" s="267"/>
      <c r="C37" s="275">
        <f>'WORK OUT'!$C24</f>
        <v>0</v>
      </c>
      <c r="D37" s="269">
        <f>'WORK OUT'!$D24</f>
        <v>0</v>
      </c>
      <c r="E37" s="270">
        <f>'WORK OUT'!$E24</f>
        <v>0</v>
      </c>
      <c r="F37" s="273"/>
      <c r="G37" s="272" t="e">
        <f t="shared" si="0"/>
        <v>#DIV/0!</v>
      </c>
      <c r="H37" s="273">
        <f>'WORK OUT'!$I24</f>
        <v>0</v>
      </c>
      <c r="I37" s="195" t="e">
        <f t="shared" si="1"/>
        <v>#DIV/0!</v>
      </c>
      <c r="K37" s="156" t="e">
        <f>M37-L37</f>
        <v>#DIV/0!</v>
      </c>
      <c r="L37" s="154" t="e">
        <f t="shared" si="3"/>
        <v>#DIV/0!</v>
      </c>
      <c r="M37" s="49" t="e">
        <f>'WORK OUT'!$R24</f>
        <v>#DIV/0!</v>
      </c>
      <c r="N37" s="9">
        <f>'WORK OUT'!$I24</f>
        <v>0</v>
      </c>
      <c r="O37" s="63" t="e">
        <f>M37*N37</f>
        <v>#DIV/0!</v>
      </c>
    </row>
    <row r="38" spans="2:15" s="3" customFormat="1" ht="15.65" customHeight="1">
      <c r="B38" s="267"/>
      <c r="C38" s="275">
        <f>'WORK OUT'!$C25</f>
        <v>0</v>
      </c>
      <c r="D38" s="269">
        <f>'WORK OUT'!$D25</f>
        <v>0</v>
      </c>
      <c r="E38" s="270">
        <f>'WORK OUT'!$E25</f>
        <v>0</v>
      </c>
      <c r="F38" s="273"/>
      <c r="G38" s="272" t="e">
        <f t="shared" si="0"/>
        <v>#DIV/0!</v>
      </c>
      <c r="H38" s="273">
        <f>'WORK OUT'!$I25</f>
        <v>0</v>
      </c>
      <c r="I38" s="195" t="e">
        <f t="shared" si="1"/>
        <v>#DIV/0!</v>
      </c>
      <c r="K38" s="156" t="e">
        <f>M38-L38</f>
        <v>#DIV/0!</v>
      </c>
      <c r="L38" s="154" t="e">
        <f t="shared" si="3"/>
        <v>#DIV/0!</v>
      </c>
      <c r="M38" s="49" t="e">
        <f>'WORK OUT'!$R25</f>
        <v>#DIV/0!</v>
      </c>
      <c r="N38" s="9">
        <f>'WORK OUT'!$I25</f>
        <v>0</v>
      </c>
      <c r="O38" s="63" t="e">
        <f>M38*N38</f>
        <v>#DIV/0!</v>
      </c>
    </row>
    <row r="39" spans="2:15" s="3" customFormat="1" ht="25" customHeight="1">
      <c r="B39" s="196" t="s">
        <v>200</v>
      </c>
      <c r="C39" s="41"/>
      <c r="D39" s="41"/>
      <c r="E39" s="41"/>
      <c r="F39" s="274"/>
      <c r="G39" s="421" t="s">
        <v>20</v>
      </c>
      <c r="H39" s="421"/>
      <c r="I39" s="197" t="e">
        <f>SUM(I21:I38)</f>
        <v>#DIV/0!</v>
      </c>
    </row>
    <row r="40" spans="2:15" s="3" customFormat="1" ht="15.65" customHeight="1">
      <c r="B40" s="294"/>
      <c r="C40" s="422" t="s">
        <v>238</v>
      </c>
      <c r="D40" s="422"/>
      <c r="E40" s="422"/>
      <c r="F40" s="422"/>
      <c r="G40" s="422"/>
      <c r="H40" s="422"/>
      <c r="I40" s="423"/>
    </row>
    <row r="41" spans="2:15" s="3" customFormat="1" ht="15.65" customHeight="1">
      <c r="B41" s="192"/>
      <c r="C41" s="427" t="s">
        <v>201</v>
      </c>
      <c r="D41" s="427"/>
      <c r="E41" s="41"/>
      <c r="F41" s="192"/>
      <c r="G41" s="192"/>
      <c r="H41" s="192"/>
      <c r="I41" s="192"/>
    </row>
    <row r="42" spans="2:15" s="3" customFormat="1" ht="15.5">
      <c r="B42" s="190" t="s">
        <v>194</v>
      </c>
      <c r="C42" s="426" t="s">
        <v>194</v>
      </c>
      <c r="D42" s="426"/>
      <c r="E42" s="426"/>
      <c r="F42" s="426"/>
      <c r="G42" s="55"/>
      <c r="H42" s="55"/>
      <c r="I42" s="55"/>
    </row>
    <row r="43" spans="2:15" s="3" customFormat="1" ht="15.5">
      <c r="B43" s="190" t="s">
        <v>195</v>
      </c>
      <c r="C43" s="420" t="s">
        <v>195</v>
      </c>
      <c r="D43" s="420"/>
      <c r="E43" s="420"/>
      <c r="F43" s="420"/>
      <c r="G43" s="55"/>
      <c r="H43" s="55"/>
      <c r="I43" s="55"/>
    </row>
    <row r="44" spans="2:15" s="3" customFormat="1" ht="15.5">
      <c r="B44" s="190" t="s">
        <v>196</v>
      </c>
      <c r="C44" s="426" t="s">
        <v>196</v>
      </c>
      <c r="D44" s="426"/>
      <c r="E44" s="426"/>
      <c r="F44" s="426"/>
      <c r="G44" s="55"/>
      <c r="H44" s="55"/>
      <c r="I44" s="55"/>
    </row>
    <row r="45" spans="2:15" s="3" customFormat="1" ht="15.5">
      <c r="B45" s="190" t="s">
        <v>197</v>
      </c>
      <c r="C45" s="426" t="s">
        <v>197</v>
      </c>
      <c r="D45" s="426"/>
      <c r="E45" s="426"/>
      <c r="F45" s="426"/>
      <c r="G45" s="55"/>
      <c r="H45" s="55"/>
      <c r="I45" s="55"/>
    </row>
    <row r="46" spans="2:15" s="3" customFormat="1" ht="15.5">
      <c r="B46" s="190" t="s">
        <v>198</v>
      </c>
      <c r="C46" s="426" t="s">
        <v>198</v>
      </c>
      <c r="D46" s="426"/>
      <c r="E46" s="426"/>
      <c r="F46" s="426"/>
      <c r="G46" s="55"/>
      <c r="H46" s="55"/>
      <c r="I46" s="55"/>
    </row>
    <row r="47" spans="2:15" s="3" customFormat="1" ht="15.5">
      <c r="B47" s="55"/>
      <c r="C47" s="191"/>
      <c r="D47" s="35"/>
      <c r="E47" s="35"/>
      <c r="F47" s="35"/>
      <c r="G47" s="35"/>
      <c r="H47" s="35"/>
      <c r="I47" s="35"/>
    </row>
    <row r="48" spans="2:15" s="3" customFormat="1" ht="14.25" customHeight="1">
      <c r="B48" s="55"/>
      <c r="C48" s="420" t="s">
        <v>203</v>
      </c>
      <c r="D48" s="420"/>
      <c r="E48" s="420"/>
      <c r="F48" s="420"/>
      <c r="G48" s="420"/>
      <c r="H48" s="420"/>
      <c r="I48" s="420"/>
    </row>
    <row r="49" spans="2:15" s="3" customFormat="1" ht="15.5">
      <c r="B49" s="55"/>
      <c r="C49" s="420" t="s">
        <v>204</v>
      </c>
      <c r="D49" s="420"/>
      <c r="E49" s="420"/>
      <c r="F49" s="420"/>
      <c r="G49" s="420"/>
      <c r="H49" s="420"/>
      <c r="I49" s="420"/>
      <c r="K49"/>
      <c r="L49"/>
      <c r="M49"/>
      <c r="N49"/>
      <c r="O49"/>
    </row>
    <row r="50" spans="2:15" s="3" customFormat="1" ht="15.5">
      <c r="B50" s="55"/>
      <c r="C50" s="191"/>
      <c r="D50" s="35"/>
      <c r="E50" s="35"/>
      <c r="F50" s="35"/>
      <c r="G50" s="35"/>
      <c r="H50" s="35"/>
      <c r="I50" s="35"/>
      <c r="K50"/>
      <c r="L50"/>
      <c r="M50"/>
      <c r="N50"/>
      <c r="O50"/>
    </row>
    <row r="51" spans="2:15" s="3" customFormat="1" ht="15.5">
      <c r="B51" s="55"/>
      <c r="C51" s="198" t="s">
        <v>52</v>
      </c>
      <c r="D51" s="198"/>
      <c r="E51" s="198"/>
      <c r="F51" s="35"/>
      <c r="G51" s="35"/>
      <c r="H51" s="35"/>
      <c r="I51" s="35"/>
      <c r="K51"/>
      <c r="L51"/>
      <c r="M51"/>
      <c r="N51"/>
      <c r="O51"/>
    </row>
    <row r="52" spans="2:15" ht="15.5">
      <c r="B52" s="55"/>
      <c r="C52" s="198" t="s">
        <v>199</v>
      </c>
      <c r="D52" s="198"/>
      <c r="E52" s="198"/>
      <c r="F52" s="198"/>
      <c r="G52" s="35"/>
      <c r="H52" s="35"/>
      <c r="I52" s="35"/>
    </row>
    <row r="53" spans="2:15" ht="15.5">
      <c r="B53" s="55"/>
      <c r="C53" s="198"/>
      <c r="D53" s="198"/>
      <c r="E53" s="198"/>
      <c r="F53" s="198"/>
      <c r="G53" s="35"/>
      <c r="H53" s="35"/>
      <c r="I53" s="35"/>
    </row>
    <row r="54" spans="2:15" ht="15.5">
      <c r="B54" s="35"/>
      <c r="C54" s="424" t="s">
        <v>232</v>
      </c>
      <c r="D54" s="424"/>
      <c r="E54" s="191"/>
      <c r="F54" s="191"/>
      <c r="G54" s="35"/>
      <c r="H54" s="35"/>
      <c r="I54" s="35"/>
    </row>
    <row r="55" spans="2:15" ht="15.5">
      <c r="B55" s="35"/>
      <c r="C55" s="191" t="s">
        <v>231</v>
      </c>
      <c r="D55" s="191"/>
      <c r="E55" s="191"/>
      <c r="F55" s="191"/>
      <c r="G55" s="35"/>
      <c r="H55" s="35"/>
      <c r="I55" s="35"/>
    </row>
    <row r="56" spans="2:15" ht="17.149999999999999" customHeight="1">
      <c r="B56" s="416" t="s">
        <v>211</v>
      </c>
      <c r="C56" s="417"/>
      <c r="D56" s="417"/>
      <c r="E56" s="417"/>
      <c r="F56" s="417"/>
      <c r="G56" s="417"/>
      <c r="H56" s="417"/>
      <c r="I56" s="417"/>
    </row>
  </sheetData>
  <mergeCells count="43">
    <mergeCell ref="Q14:S14"/>
    <mergeCell ref="K16:O16"/>
    <mergeCell ref="K18:O18"/>
    <mergeCell ref="G4:I4"/>
    <mergeCell ref="C14:F14"/>
    <mergeCell ref="G8:I8"/>
    <mergeCell ref="G9:I9"/>
    <mergeCell ref="G10:I10"/>
    <mergeCell ref="G11:I11"/>
    <mergeCell ref="G12:I12"/>
    <mergeCell ref="D15:F15"/>
    <mergeCell ref="G13:I13"/>
    <mergeCell ref="G14:I14"/>
    <mergeCell ref="K8:M8"/>
    <mergeCell ref="K9:O9"/>
    <mergeCell ref="K11:O14"/>
    <mergeCell ref="C9:F9"/>
    <mergeCell ref="C10:F13"/>
    <mergeCell ref="K7:O7"/>
    <mergeCell ref="K5:L5"/>
    <mergeCell ref="F2:I2"/>
    <mergeCell ref="C2:E3"/>
    <mergeCell ref="B5:I5"/>
    <mergeCell ref="H6:I6"/>
    <mergeCell ref="H7:I7"/>
    <mergeCell ref="B4:F4"/>
    <mergeCell ref="G15:I15"/>
    <mergeCell ref="C43:F43"/>
    <mergeCell ref="C44:F44"/>
    <mergeCell ref="C46:F46"/>
    <mergeCell ref="C41:D41"/>
    <mergeCell ref="C42:F42"/>
    <mergeCell ref="C45:F45"/>
    <mergeCell ref="B56:I56"/>
    <mergeCell ref="G16:I16"/>
    <mergeCell ref="G17:I17"/>
    <mergeCell ref="C48:I48"/>
    <mergeCell ref="C49:I49"/>
    <mergeCell ref="G39:H39"/>
    <mergeCell ref="C40:I40"/>
    <mergeCell ref="C54:D54"/>
    <mergeCell ref="D16:F16"/>
    <mergeCell ref="D17:F17"/>
  </mergeCells>
  <phoneticPr fontId="23" type="noConversion"/>
  <hyperlinks>
    <hyperlink ref="G4" r:id="rId1" display="alindjet@gmail.com" xr:uid="{00000000-0004-0000-0100-000000000000}"/>
  </hyperlinks>
  <printOptions horizontalCentered="1"/>
  <pageMargins left="0.35433070866141736" right="0.19685039370078741" top="0.23622047244094491" bottom="0.19685039370078741" header="0" footer="0"/>
  <pageSetup paperSize="9" scale="82" orientation="portrait" verticalDpi="429496729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D136"/>
  <sheetViews>
    <sheetView tabSelected="1" zoomScale="66" zoomScaleNormal="66" zoomScaleSheetLayoutView="75" workbookViewId="0">
      <selection activeCell="D2" sqref="D2:J4"/>
    </sheetView>
  </sheetViews>
  <sheetFormatPr defaultRowHeight="14.5"/>
  <cols>
    <col min="1" max="1" width="3.26953125" customWidth="1"/>
    <col min="2" max="2" width="5.1796875" customWidth="1"/>
    <col min="3" max="3" width="28" customWidth="1"/>
    <col min="4" max="4" width="10.81640625" customWidth="1"/>
    <col min="5" max="5" width="7.1796875" customWidth="1"/>
    <col min="6" max="6" width="9.81640625" customWidth="1"/>
    <col min="7" max="7" width="8.54296875" customWidth="1"/>
    <col min="8" max="8" width="13.81640625" customWidth="1"/>
    <col min="9" max="9" width="7.453125" customWidth="1"/>
    <col min="10" max="10" width="9.453125" customWidth="1"/>
    <col min="11" max="11" width="8.453125" customWidth="1"/>
    <col min="12" max="12" width="9.54296875" customWidth="1"/>
    <col min="13" max="13" width="10.453125" customWidth="1"/>
    <col min="14" max="14" width="11.453125" customWidth="1"/>
    <col min="15" max="15" width="9.54296875" customWidth="1"/>
    <col min="16" max="16" width="8.7265625" customWidth="1"/>
    <col min="17" max="17" width="5.453125" customWidth="1"/>
    <col min="18" max="18" width="11.81640625" bestFit="1" customWidth="1"/>
    <col min="19" max="19" width="10" bestFit="1" customWidth="1"/>
    <col min="20" max="20" width="14" bestFit="1" customWidth="1"/>
    <col min="21" max="21" width="10.54296875" customWidth="1"/>
    <col min="22" max="22" width="13" customWidth="1"/>
    <col min="23" max="23" width="4.7265625" customWidth="1"/>
    <col min="24" max="24" width="7.81640625" customWidth="1"/>
    <col min="25" max="25" width="9.26953125" bestFit="1" customWidth="1"/>
    <col min="26" max="26" width="12.26953125" bestFit="1" customWidth="1"/>
    <col min="27" max="27" width="12.7265625" customWidth="1"/>
    <col min="28" max="28" width="13.453125" customWidth="1"/>
    <col min="29" max="29" width="10.7265625" customWidth="1"/>
    <col min="30" max="30" width="3.7265625" customWidth="1"/>
  </cols>
  <sheetData>
    <row r="1" spans="2:30" ht="33" customHeight="1">
      <c r="B1" s="370" t="s">
        <v>229</v>
      </c>
      <c r="C1" s="371"/>
      <c r="D1" s="367" t="s">
        <v>247</v>
      </c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9"/>
      <c r="S1" s="348"/>
      <c r="T1" s="349"/>
      <c r="U1" s="349"/>
      <c r="V1" s="349"/>
      <c r="W1" s="349"/>
      <c r="X1" s="349"/>
      <c r="Y1" s="349"/>
      <c r="Z1" s="349"/>
      <c r="AA1" s="350"/>
    </row>
    <row r="2" spans="2:30" ht="36" customHeight="1">
      <c r="B2" s="372" t="s">
        <v>168</v>
      </c>
      <c r="C2" s="373"/>
      <c r="D2" s="361"/>
      <c r="E2" s="361"/>
      <c r="F2" s="361"/>
      <c r="G2" s="361"/>
      <c r="H2" s="361"/>
      <c r="I2" s="361"/>
      <c r="J2" s="362"/>
      <c r="K2" s="354" t="s">
        <v>167</v>
      </c>
      <c r="L2" s="355"/>
      <c r="M2" s="355"/>
      <c r="N2" s="383" t="s">
        <v>252</v>
      </c>
      <c r="O2" s="384"/>
      <c r="P2" s="384"/>
      <c r="Q2" s="384"/>
      <c r="R2" s="385"/>
      <c r="S2" s="169"/>
      <c r="T2" s="170"/>
      <c r="U2" s="171"/>
      <c r="V2" s="171"/>
      <c r="W2" s="171"/>
      <c r="X2" s="171"/>
      <c r="Y2" s="171"/>
      <c r="Z2" s="171"/>
      <c r="AA2" s="172"/>
      <c r="AB2" s="73">
        <v>6100</v>
      </c>
      <c r="AC2" s="33">
        <f>AB2/60</f>
        <v>101.66666666666667</v>
      </c>
      <c r="AD2" t="s">
        <v>234</v>
      </c>
    </row>
    <row r="3" spans="2:30" ht="30" customHeight="1">
      <c r="B3" s="374"/>
      <c r="C3" s="375"/>
      <c r="D3" s="363"/>
      <c r="E3" s="363"/>
      <c r="F3" s="363"/>
      <c r="G3" s="363"/>
      <c r="H3" s="363"/>
      <c r="I3" s="363"/>
      <c r="J3" s="364"/>
      <c r="K3" s="356" t="s">
        <v>169</v>
      </c>
      <c r="L3" s="357"/>
      <c r="M3" s="358"/>
      <c r="N3" s="386"/>
      <c r="O3" s="387"/>
      <c r="P3" s="387"/>
      <c r="Q3" s="387"/>
      <c r="R3" s="388"/>
      <c r="S3" s="161"/>
      <c r="T3" s="162"/>
      <c r="U3" s="163"/>
      <c r="V3" s="163"/>
      <c r="W3" s="163"/>
      <c r="X3" s="163"/>
      <c r="Y3" s="163"/>
      <c r="Z3" s="163"/>
      <c r="AA3" s="164"/>
      <c r="AB3" s="296">
        <v>3100</v>
      </c>
      <c r="AC3" s="33">
        <f>AB3/60</f>
        <v>51.666666666666664</v>
      </c>
      <c r="AD3" t="s">
        <v>235</v>
      </c>
    </row>
    <row r="4" spans="2:30" ht="31.5" customHeight="1">
      <c r="B4" s="376"/>
      <c r="C4" s="377"/>
      <c r="D4" s="365"/>
      <c r="E4" s="365"/>
      <c r="F4" s="365"/>
      <c r="G4" s="365"/>
      <c r="H4" s="365"/>
      <c r="I4" s="365"/>
      <c r="J4" s="366"/>
      <c r="K4" s="359" t="s">
        <v>170</v>
      </c>
      <c r="L4" s="360"/>
      <c r="M4" s="360"/>
      <c r="N4" s="383"/>
      <c r="O4" s="384"/>
      <c r="P4" s="384"/>
      <c r="Q4" s="384"/>
      <c r="R4" s="385"/>
      <c r="S4" s="165" t="s">
        <v>54</v>
      </c>
      <c r="T4" s="166"/>
      <c r="U4" s="167"/>
      <c r="V4" s="167"/>
      <c r="W4" s="167"/>
      <c r="X4" s="167"/>
      <c r="Y4" s="167"/>
      <c r="Z4" s="167"/>
      <c r="AA4" s="168"/>
      <c r="AB4" s="296">
        <v>3600</v>
      </c>
      <c r="AC4" s="33">
        <f>AB4/60</f>
        <v>60</v>
      </c>
      <c r="AD4" t="s">
        <v>236</v>
      </c>
    </row>
    <row r="5" spans="2:30" ht="19.5" customHeight="1">
      <c r="C5" s="157"/>
      <c r="D5" s="351"/>
      <c r="E5" s="352"/>
      <c r="F5" s="352"/>
      <c r="G5" s="352"/>
      <c r="H5" s="352"/>
      <c r="I5" s="352"/>
      <c r="J5" s="353"/>
      <c r="K5" s="19"/>
      <c r="L5" s="19"/>
      <c r="M5" s="19"/>
      <c r="N5" s="19"/>
      <c r="O5" s="21"/>
      <c r="P5" s="22"/>
      <c r="Q5" s="22"/>
      <c r="R5" s="22"/>
      <c r="S5" s="22"/>
      <c r="T5" s="20"/>
      <c r="U5" s="20"/>
      <c r="V5" s="20"/>
      <c r="W5" s="20"/>
      <c r="X5" s="20"/>
      <c r="Y5" s="20"/>
      <c r="Z5" s="20"/>
      <c r="AA5" s="20"/>
      <c r="AB5">
        <v>19</v>
      </c>
      <c r="AD5" t="s">
        <v>248</v>
      </c>
    </row>
    <row r="6" spans="2:30">
      <c r="D6" s="379" t="s">
        <v>69</v>
      </c>
      <c r="E6" s="380"/>
      <c r="F6" s="380"/>
      <c r="G6" s="380"/>
      <c r="H6" s="380"/>
      <c r="I6" s="381" t="s">
        <v>68</v>
      </c>
      <c r="J6" s="382"/>
      <c r="K6" s="19"/>
      <c r="L6" s="19"/>
      <c r="M6" s="19"/>
      <c r="N6" s="19"/>
    </row>
    <row r="7" spans="2:30" ht="15" thickBot="1">
      <c r="D7" s="379"/>
      <c r="E7" s="380"/>
      <c r="F7" s="380"/>
      <c r="G7" s="380"/>
      <c r="H7" s="380"/>
      <c r="I7" s="381"/>
      <c r="J7" s="382"/>
    </row>
    <row r="8" spans="2:30" s="10" customFormat="1" ht="124.5" customHeight="1">
      <c r="B8" s="298" t="s">
        <v>37</v>
      </c>
      <c r="C8" s="299" t="s">
        <v>38</v>
      </c>
      <c r="D8" s="300" t="s">
        <v>2</v>
      </c>
      <c r="E8" s="300" t="s">
        <v>10</v>
      </c>
      <c r="F8" s="300" t="s">
        <v>66</v>
      </c>
      <c r="G8" s="301" t="s">
        <v>8</v>
      </c>
      <c r="H8" s="302" t="s">
        <v>12</v>
      </c>
      <c r="I8" s="303" t="s">
        <v>42</v>
      </c>
      <c r="J8" s="304" t="s">
        <v>11</v>
      </c>
      <c r="K8" s="301" t="s">
        <v>81</v>
      </c>
      <c r="L8" s="301" t="s">
        <v>5</v>
      </c>
      <c r="M8" s="301" t="s">
        <v>40</v>
      </c>
      <c r="N8" s="301" t="s">
        <v>39</v>
      </c>
      <c r="O8" s="217" t="s">
        <v>172</v>
      </c>
      <c r="P8" s="217" t="s">
        <v>173</v>
      </c>
      <c r="Q8" s="334" t="s">
        <v>246</v>
      </c>
      <c r="R8" s="218" t="s">
        <v>46</v>
      </c>
      <c r="S8" s="219" t="s">
        <v>42</v>
      </c>
      <c r="T8" s="220" t="s">
        <v>47</v>
      </c>
      <c r="U8" s="221" t="s">
        <v>43</v>
      </c>
      <c r="V8" s="218" t="s">
        <v>80</v>
      </c>
      <c r="W8" s="222"/>
      <c r="X8" s="223" t="s">
        <v>44</v>
      </c>
      <c r="Y8" s="223" t="s">
        <v>78</v>
      </c>
      <c r="Z8" s="223" t="s">
        <v>70</v>
      </c>
      <c r="AA8" s="224" t="s">
        <v>45</v>
      </c>
      <c r="AB8" s="225" t="s">
        <v>174</v>
      </c>
    </row>
    <row r="9" spans="2:30" s="24" customFormat="1" ht="33" customHeight="1">
      <c r="B9" s="305">
        <v>1</v>
      </c>
      <c r="C9" s="306"/>
      <c r="D9" s="307"/>
      <c r="E9" s="308"/>
      <c r="F9" s="308"/>
      <c r="G9" s="309"/>
      <c r="H9" s="310"/>
      <c r="I9" s="311"/>
      <c r="J9" s="310"/>
      <c r="K9" s="312">
        <v>4</v>
      </c>
      <c r="L9" s="309"/>
      <c r="M9" s="307"/>
      <c r="N9" s="307"/>
      <c r="O9" s="205">
        <v>1.1000000000000001</v>
      </c>
      <c r="P9" s="206">
        <v>700</v>
      </c>
      <c r="Q9" s="335"/>
      <c r="R9" s="207" t="e">
        <f>ROUNDUP((T9/S9),0)</f>
        <v>#DIV/0!</v>
      </c>
      <c r="S9" s="208">
        <f t="shared" ref="S9:S36" si="0">I9</f>
        <v>0</v>
      </c>
      <c r="T9" s="209" t="e">
        <f>ROUNDUP((V9+U9),0)</f>
        <v>#DIV/0!</v>
      </c>
      <c r="U9" s="210">
        <f>J9*'HR       '!$L$12</f>
        <v>0</v>
      </c>
      <c r="V9" s="211" t="e">
        <f>(Y9*('HR       '!$E$9/60))+(('HR       '!$E$7/60)*Z9)+(((P9-450)/1000)*'HR       '!$E$10*Z9)</f>
        <v>#DIV/0!</v>
      </c>
      <c r="W9" s="212"/>
      <c r="X9" s="213">
        <f t="shared" ref="X9:X36" si="1">J9</f>
        <v>0</v>
      </c>
      <c r="Y9" s="214">
        <f t="shared" ref="Y9:Y36" si="2">(G9*K9*I9)/60</f>
        <v>0</v>
      </c>
      <c r="Z9" s="214" t="e">
        <f>((H9+((('HR       '!$E$5*'HR       '!$E$6))*G9)+(F9*5))*I9)/L9</f>
        <v>#DIV/0!</v>
      </c>
      <c r="AA9" s="215" t="e">
        <f>X9+Y9+Z9</f>
        <v>#DIV/0!</v>
      </c>
      <c r="AB9" s="216" t="e">
        <f t="shared" ref="AB9:AB36" si="3">ROUNDUP(((R9/H9)*1000),0)</f>
        <v>#DIV/0!</v>
      </c>
    </row>
    <row r="10" spans="2:30" s="24" customFormat="1" ht="33" customHeight="1">
      <c r="B10" s="313">
        <v>2</v>
      </c>
      <c r="C10" s="306"/>
      <c r="D10" s="314"/>
      <c r="E10" s="315"/>
      <c r="F10" s="316"/>
      <c r="G10" s="317"/>
      <c r="H10" s="318"/>
      <c r="I10" s="319"/>
      <c r="J10" s="318"/>
      <c r="K10" s="320">
        <v>4</v>
      </c>
      <c r="L10" s="321"/>
      <c r="M10" s="314"/>
      <c r="N10" s="322"/>
      <c r="O10" s="186">
        <v>1.1000000000000001</v>
      </c>
      <c r="P10" s="187">
        <v>700</v>
      </c>
      <c r="Q10" s="335"/>
      <c r="R10" s="158" t="e">
        <f>ROUNDUP((T10/S10),0)</f>
        <v>#DIV/0!</v>
      </c>
      <c r="S10" s="159">
        <f t="shared" si="0"/>
        <v>0</v>
      </c>
      <c r="T10" s="173" t="e">
        <f>ROUNDUP((V10+U10),0)</f>
        <v>#DIV/0!</v>
      </c>
      <c r="U10" s="174">
        <f>J10*'HR       '!$L$12</f>
        <v>0</v>
      </c>
      <c r="V10" s="175" t="e">
        <f>(Y10*('HR       '!$E$9/60))+(('HR       '!$E$7/60)*Z10)+(((P10-450)/1000)*'HR       '!$E$10*Z10)</f>
        <v>#DIV/0!</v>
      </c>
      <c r="W10" s="176"/>
      <c r="X10" s="160">
        <f t="shared" si="1"/>
        <v>0</v>
      </c>
      <c r="Y10" s="160">
        <f t="shared" si="2"/>
        <v>0</v>
      </c>
      <c r="Z10" s="179" t="e">
        <f>((H10+((('HR       '!$E$5*'HR       '!$E$6))*G10)+(F10*5))*I10)/L10</f>
        <v>#DIV/0!</v>
      </c>
      <c r="AA10" s="178" t="e">
        <f>X10+Y10+Z10</f>
        <v>#DIV/0!</v>
      </c>
      <c r="AB10" s="180" t="e">
        <f t="shared" si="3"/>
        <v>#DIV/0!</v>
      </c>
    </row>
    <row r="11" spans="2:30" s="24" customFormat="1" ht="33" customHeight="1">
      <c r="B11" s="313">
        <v>3</v>
      </c>
      <c r="C11" s="306"/>
      <c r="D11" s="314"/>
      <c r="E11" s="315"/>
      <c r="F11" s="316"/>
      <c r="G11" s="317"/>
      <c r="H11" s="318"/>
      <c r="I11" s="319"/>
      <c r="J11" s="318"/>
      <c r="K11" s="320">
        <v>4</v>
      </c>
      <c r="L11" s="323"/>
      <c r="M11" s="314"/>
      <c r="N11" s="322"/>
      <c r="O11" s="186">
        <v>1.1000000000000001</v>
      </c>
      <c r="P11" s="187">
        <v>700</v>
      </c>
      <c r="Q11" s="335"/>
      <c r="R11" s="158" t="e">
        <f>ROUNDUP((T11/S11),0)</f>
        <v>#DIV/0!</v>
      </c>
      <c r="S11" s="159">
        <f t="shared" si="0"/>
        <v>0</v>
      </c>
      <c r="T11" s="173" t="e">
        <f>ROUNDUP((V11+U11),0)</f>
        <v>#DIV/0!</v>
      </c>
      <c r="U11" s="174">
        <f>J11*'HR       '!$L$12</f>
        <v>0</v>
      </c>
      <c r="V11" s="175" t="e">
        <f>(Y11*('HR       '!$E$9/60))+(('HR       '!$E$7/60)*Z11)+(((P11-450)/1000)*'HR       '!$E$10*Z11)</f>
        <v>#DIV/0!</v>
      </c>
      <c r="W11" s="176"/>
      <c r="X11" s="160">
        <f t="shared" si="1"/>
        <v>0</v>
      </c>
      <c r="Y11" s="160">
        <f t="shared" si="2"/>
        <v>0</v>
      </c>
      <c r="Z11" s="179" t="e">
        <f>((H11+((('HR       '!$E$5*'HR       '!$E$6))*G11)+(F11*5))*I11)/L11</f>
        <v>#DIV/0!</v>
      </c>
      <c r="AA11" s="177" t="e">
        <f t="shared" ref="AA11:AA74" si="4">X11+Y11+Z11</f>
        <v>#DIV/0!</v>
      </c>
      <c r="AB11" s="181" t="e">
        <f t="shared" si="3"/>
        <v>#DIV/0!</v>
      </c>
    </row>
    <row r="12" spans="2:30" s="24" customFormat="1" ht="33" customHeight="1">
      <c r="B12" s="313">
        <v>4</v>
      </c>
      <c r="C12" s="324"/>
      <c r="D12" s="314"/>
      <c r="E12" s="315"/>
      <c r="F12" s="316"/>
      <c r="G12" s="317"/>
      <c r="H12" s="318"/>
      <c r="I12" s="319"/>
      <c r="J12" s="318"/>
      <c r="K12" s="325">
        <v>4</v>
      </c>
      <c r="L12" s="323"/>
      <c r="M12" s="314"/>
      <c r="N12" s="322"/>
      <c r="O12" s="186">
        <v>1.1000000000000001</v>
      </c>
      <c r="P12" s="187">
        <v>700</v>
      </c>
      <c r="Q12" s="335"/>
      <c r="R12" s="158" t="e">
        <f t="shared" ref="R12:R21" si="5">ROUNDUP((T12/S12),0)</f>
        <v>#DIV/0!</v>
      </c>
      <c r="S12" s="159">
        <f t="shared" si="0"/>
        <v>0</v>
      </c>
      <c r="T12" s="173" t="e">
        <f t="shared" ref="T12:T21" si="6">ROUNDUP((V12+U12),0)</f>
        <v>#DIV/0!</v>
      </c>
      <c r="U12" s="174">
        <f>J12*'HR       '!$L$12</f>
        <v>0</v>
      </c>
      <c r="V12" s="175" t="e">
        <f>(Y12*('HR       '!$E$9/60))+(('HR       '!$E$7/60)*Z12)+(((P12-450)/1000)*'HR       '!$E$10*Z12)</f>
        <v>#DIV/0!</v>
      </c>
      <c r="W12" s="176"/>
      <c r="X12" s="160">
        <f t="shared" si="1"/>
        <v>0</v>
      </c>
      <c r="Y12" s="160">
        <f t="shared" si="2"/>
        <v>0</v>
      </c>
      <c r="Z12" s="179" t="e">
        <f>((H12+((('HR       '!$E$5*'HR       '!$E$6))*G12)+(F12*5))*I12)/L12</f>
        <v>#DIV/0!</v>
      </c>
      <c r="AA12" s="177" t="e">
        <f t="shared" si="4"/>
        <v>#DIV/0!</v>
      </c>
      <c r="AB12" s="181" t="e">
        <f t="shared" si="3"/>
        <v>#DIV/0!</v>
      </c>
    </row>
    <row r="13" spans="2:30" s="24" customFormat="1" ht="33" customHeight="1">
      <c r="B13" s="313">
        <v>5</v>
      </c>
      <c r="C13" s="324"/>
      <c r="D13" s="314"/>
      <c r="E13" s="315"/>
      <c r="F13" s="316"/>
      <c r="G13" s="317"/>
      <c r="H13" s="318"/>
      <c r="I13" s="319"/>
      <c r="J13" s="318"/>
      <c r="K13" s="325">
        <v>4</v>
      </c>
      <c r="L13" s="323"/>
      <c r="M13" s="314"/>
      <c r="N13" s="322"/>
      <c r="O13" s="186">
        <v>1.1000000000000001</v>
      </c>
      <c r="P13" s="187">
        <v>700</v>
      </c>
      <c r="Q13" s="335"/>
      <c r="R13" s="158" t="e">
        <f t="shared" si="5"/>
        <v>#DIV/0!</v>
      </c>
      <c r="S13" s="159">
        <f t="shared" si="0"/>
        <v>0</v>
      </c>
      <c r="T13" s="173" t="e">
        <f t="shared" si="6"/>
        <v>#DIV/0!</v>
      </c>
      <c r="U13" s="174">
        <f>J13*'HR       '!$L$12</f>
        <v>0</v>
      </c>
      <c r="V13" s="175" t="e">
        <f>(Y13*('HR       '!$E$9/60))+(('HR       '!$E$7/60)*Z13)+(((P13-450)/1000)*'HR       '!$E$10*Z13)</f>
        <v>#DIV/0!</v>
      </c>
      <c r="W13" s="176"/>
      <c r="X13" s="160">
        <f t="shared" si="1"/>
        <v>0</v>
      </c>
      <c r="Y13" s="160">
        <f t="shared" si="2"/>
        <v>0</v>
      </c>
      <c r="Z13" s="179" t="e">
        <f>((H13+((('HR       '!$E$5*'HR       '!$E$6))*G13)+(F13*5))*I13)/L13</f>
        <v>#DIV/0!</v>
      </c>
      <c r="AA13" s="177" t="e">
        <f t="shared" si="4"/>
        <v>#DIV/0!</v>
      </c>
      <c r="AB13" s="181" t="e">
        <f t="shared" si="3"/>
        <v>#DIV/0!</v>
      </c>
    </row>
    <row r="14" spans="2:30" s="24" customFormat="1" ht="33" customHeight="1">
      <c r="B14" s="326">
        <v>6</v>
      </c>
      <c r="C14" s="324"/>
      <c r="D14" s="314"/>
      <c r="E14" s="315"/>
      <c r="F14" s="327"/>
      <c r="G14" s="328"/>
      <c r="H14" s="329"/>
      <c r="I14" s="330"/>
      <c r="J14" s="318"/>
      <c r="K14" s="325">
        <v>4</v>
      </c>
      <c r="L14" s="331"/>
      <c r="M14" s="314"/>
      <c r="N14" s="322"/>
      <c r="O14" s="186">
        <v>1.1000000000000001</v>
      </c>
      <c r="P14" s="187">
        <v>700</v>
      </c>
      <c r="Q14" s="378" t="s">
        <v>16</v>
      </c>
      <c r="R14" s="158" t="e">
        <f t="shared" si="5"/>
        <v>#DIV/0!</v>
      </c>
      <c r="S14" s="159">
        <f t="shared" si="0"/>
        <v>0</v>
      </c>
      <c r="T14" s="173" t="e">
        <f t="shared" si="6"/>
        <v>#DIV/0!</v>
      </c>
      <c r="U14" s="174">
        <f>J14*'HR       '!$L$12</f>
        <v>0</v>
      </c>
      <c r="V14" s="175" t="e">
        <f>(Y14*('HR       '!$E$9/60))+(('HR       '!$E$7/60)*Z14)+(((P14-450)/1000)*'HR       '!$E$10*Z14)</f>
        <v>#DIV/0!</v>
      </c>
      <c r="W14" s="176"/>
      <c r="X14" s="160">
        <f t="shared" si="1"/>
        <v>0</v>
      </c>
      <c r="Y14" s="160">
        <f t="shared" si="2"/>
        <v>0</v>
      </c>
      <c r="Z14" s="179" t="e">
        <f>((H14+((('HR       '!$E$5*'HR       '!$E$6))*G14)+(F14*5))*I14)/L14</f>
        <v>#DIV/0!</v>
      </c>
      <c r="AA14" s="177" t="e">
        <f t="shared" si="4"/>
        <v>#DIV/0!</v>
      </c>
      <c r="AB14" s="181" t="e">
        <f t="shared" si="3"/>
        <v>#DIV/0!</v>
      </c>
    </row>
    <row r="15" spans="2:30" s="24" customFormat="1" ht="33" customHeight="1">
      <c r="B15" s="326">
        <v>7</v>
      </c>
      <c r="C15" s="324"/>
      <c r="D15" s="314"/>
      <c r="E15" s="315"/>
      <c r="F15" s="316"/>
      <c r="G15" s="317"/>
      <c r="H15" s="318"/>
      <c r="I15" s="319"/>
      <c r="J15" s="318"/>
      <c r="K15" s="325">
        <v>4</v>
      </c>
      <c r="L15" s="323"/>
      <c r="M15" s="314"/>
      <c r="N15" s="322"/>
      <c r="O15" s="186">
        <v>1.1000000000000001</v>
      </c>
      <c r="P15" s="187">
        <v>700</v>
      </c>
      <c r="Q15" s="378"/>
      <c r="R15" s="158" t="e">
        <f t="shared" si="5"/>
        <v>#DIV/0!</v>
      </c>
      <c r="S15" s="159">
        <f t="shared" si="0"/>
        <v>0</v>
      </c>
      <c r="T15" s="173" t="e">
        <f t="shared" si="6"/>
        <v>#DIV/0!</v>
      </c>
      <c r="U15" s="174">
        <f>J15*'HR       '!$L$12</f>
        <v>0</v>
      </c>
      <c r="V15" s="175" t="e">
        <f>(Y15*('HR       '!$E$9/60))+(('HR       '!$E$7/60)*Z15)+(((P15-450)/1000)*'HR       '!$E$10*Z15)</f>
        <v>#DIV/0!</v>
      </c>
      <c r="W15" s="176"/>
      <c r="X15" s="160">
        <f t="shared" si="1"/>
        <v>0</v>
      </c>
      <c r="Y15" s="160">
        <f t="shared" si="2"/>
        <v>0</v>
      </c>
      <c r="Z15" s="179" t="e">
        <f>((H15+((('HR       '!$E$5*'HR       '!$E$6))*G15)+(F15*5))*I15)/L15</f>
        <v>#DIV/0!</v>
      </c>
      <c r="AA15" s="177" t="e">
        <f t="shared" si="4"/>
        <v>#DIV/0!</v>
      </c>
      <c r="AB15" s="181" t="e">
        <f t="shared" si="3"/>
        <v>#DIV/0!</v>
      </c>
    </row>
    <row r="16" spans="2:30" s="24" customFormat="1" ht="33" customHeight="1">
      <c r="B16" s="326">
        <v>8</v>
      </c>
      <c r="C16" s="324"/>
      <c r="D16" s="314"/>
      <c r="E16" s="315"/>
      <c r="F16" s="327"/>
      <c r="G16" s="328"/>
      <c r="H16" s="329"/>
      <c r="I16" s="330"/>
      <c r="J16" s="318"/>
      <c r="K16" s="325">
        <v>4</v>
      </c>
      <c r="L16" s="331"/>
      <c r="M16" s="314"/>
      <c r="N16" s="322"/>
      <c r="O16" s="186">
        <v>1.1000000000000001</v>
      </c>
      <c r="P16" s="187">
        <v>700</v>
      </c>
      <c r="Q16" s="378"/>
      <c r="R16" s="158" t="e">
        <f t="shared" si="5"/>
        <v>#DIV/0!</v>
      </c>
      <c r="S16" s="159">
        <f t="shared" si="0"/>
        <v>0</v>
      </c>
      <c r="T16" s="173" t="e">
        <f t="shared" si="6"/>
        <v>#DIV/0!</v>
      </c>
      <c r="U16" s="174">
        <f>J16*'HR       '!$L$12</f>
        <v>0</v>
      </c>
      <c r="V16" s="175" t="e">
        <f>(Y16*('HR       '!$E$9/60))+(('HR       '!$E$7/60)*Z16)+(((P16-450)/1000)*'HR       '!$E$10*Z16)</f>
        <v>#DIV/0!</v>
      </c>
      <c r="W16" s="176"/>
      <c r="X16" s="160">
        <f t="shared" si="1"/>
        <v>0</v>
      </c>
      <c r="Y16" s="160">
        <f t="shared" si="2"/>
        <v>0</v>
      </c>
      <c r="Z16" s="179" t="e">
        <f>((H16+((('HR       '!$E$5*'HR       '!$E$6))*G16)+(F16*5))*I16)/L16</f>
        <v>#DIV/0!</v>
      </c>
      <c r="AA16" s="177" t="e">
        <f t="shared" si="4"/>
        <v>#DIV/0!</v>
      </c>
      <c r="AB16" s="181" t="e">
        <f t="shared" si="3"/>
        <v>#DIV/0!</v>
      </c>
    </row>
    <row r="17" spans="2:28" s="24" customFormat="1" ht="33" customHeight="1">
      <c r="B17" s="326">
        <v>9</v>
      </c>
      <c r="C17" s="324"/>
      <c r="D17" s="314"/>
      <c r="E17" s="315"/>
      <c r="F17" s="315"/>
      <c r="G17" s="328"/>
      <c r="H17" s="329"/>
      <c r="I17" s="330"/>
      <c r="J17" s="318"/>
      <c r="K17" s="325">
        <v>4</v>
      </c>
      <c r="L17" s="331"/>
      <c r="M17" s="314"/>
      <c r="N17" s="322"/>
      <c r="O17" s="186">
        <v>1.1000000000000001</v>
      </c>
      <c r="P17" s="187">
        <v>700</v>
      </c>
      <c r="Q17" s="335"/>
      <c r="R17" s="158" t="e">
        <f t="shared" si="5"/>
        <v>#DIV/0!</v>
      </c>
      <c r="S17" s="159">
        <f t="shared" si="0"/>
        <v>0</v>
      </c>
      <c r="T17" s="173" t="e">
        <f t="shared" si="6"/>
        <v>#DIV/0!</v>
      </c>
      <c r="U17" s="174">
        <f>J17*'HR       '!$L$12</f>
        <v>0</v>
      </c>
      <c r="V17" s="175" t="e">
        <f>(Y17*('HR       '!$E$9/60))+(('HR       '!$E$7/60)*Z17)+(((P17-450)/1000)*'HR       '!$E$10*Z17)</f>
        <v>#DIV/0!</v>
      </c>
      <c r="W17" s="176"/>
      <c r="X17" s="160">
        <f t="shared" si="1"/>
        <v>0</v>
      </c>
      <c r="Y17" s="160">
        <f t="shared" si="2"/>
        <v>0</v>
      </c>
      <c r="Z17" s="179" t="e">
        <f>((H17+((('HR       '!$E$5*'HR       '!$E$6))*G17)+(F17*5))*I17)/L17</f>
        <v>#DIV/0!</v>
      </c>
      <c r="AA17" s="177" t="e">
        <f t="shared" si="4"/>
        <v>#DIV/0!</v>
      </c>
      <c r="AB17" s="181" t="e">
        <f t="shared" si="3"/>
        <v>#DIV/0!</v>
      </c>
    </row>
    <row r="18" spans="2:28" s="24" customFormat="1" ht="33" customHeight="1">
      <c r="B18" s="326">
        <v>10</v>
      </c>
      <c r="C18" s="332"/>
      <c r="D18" s="314"/>
      <c r="E18" s="315"/>
      <c r="F18" s="315"/>
      <c r="G18" s="333"/>
      <c r="H18" s="329"/>
      <c r="I18" s="330"/>
      <c r="J18" s="318"/>
      <c r="K18" s="325">
        <v>4</v>
      </c>
      <c r="L18" s="333"/>
      <c r="M18" s="314"/>
      <c r="N18" s="322"/>
      <c r="O18" s="186">
        <v>1.1000000000000001</v>
      </c>
      <c r="P18" s="188">
        <v>700</v>
      </c>
      <c r="Q18" s="335"/>
      <c r="R18" s="158" t="e">
        <f t="shared" si="5"/>
        <v>#DIV/0!</v>
      </c>
      <c r="S18" s="159">
        <f t="shared" si="0"/>
        <v>0</v>
      </c>
      <c r="T18" s="173" t="e">
        <f t="shared" si="6"/>
        <v>#DIV/0!</v>
      </c>
      <c r="U18" s="174">
        <f>J18*'HR       '!$L$12</f>
        <v>0</v>
      </c>
      <c r="V18" s="175" t="e">
        <f>(Y18*('HR       '!$E$9/60))+(('HR       '!$E$7/60)*Z18)+(((P18-450)/1000)*'HR       '!$E$10*Z18)</f>
        <v>#DIV/0!</v>
      </c>
      <c r="W18" s="176"/>
      <c r="X18" s="160">
        <f t="shared" si="1"/>
        <v>0</v>
      </c>
      <c r="Y18" s="160">
        <f t="shared" si="2"/>
        <v>0</v>
      </c>
      <c r="Z18" s="179" t="e">
        <f>((H18+((('HR       '!$E$5*'HR       '!$E$6))*G18)+(F18*5))*I18)/L18</f>
        <v>#DIV/0!</v>
      </c>
      <c r="AA18" s="177" t="e">
        <f t="shared" si="4"/>
        <v>#DIV/0!</v>
      </c>
      <c r="AB18" s="181" t="e">
        <f t="shared" si="3"/>
        <v>#DIV/0!</v>
      </c>
    </row>
    <row r="19" spans="2:28" s="24" customFormat="1" ht="33" customHeight="1">
      <c r="B19" s="326">
        <v>11</v>
      </c>
      <c r="C19" s="332"/>
      <c r="D19" s="314"/>
      <c r="E19" s="315"/>
      <c r="F19" s="316"/>
      <c r="G19" s="317"/>
      <c r="H19" s="318"/>
      <c r="I19" s="319"/>
      <c r="J19" s="318"/>
      <c r="K19" s="325">
        <v>4</v>
      </c>
      <c r="L19" s="323"/>
      <c r="M19" s="314"/>
      <c r="N19" s="322"/>
      <c r="O19" s="186">
        <v>1.1000000000000001</v>
      </c>
      <c r="P19" s="188">
        <v>700</v>
      </c>
      <c r="Q19" s="335"/>
      <c r="R19" s="158" t="e">
        <f t="shared" si="5"/>
        <v>#DIV/0!</v>
      </c>
      <c r="S19" s="159">
        <f t="shared" si="0"/>
        <v>0</v>
      </c>
      <c r="T19" s="173" t="e">
        <f t="shared" si="6"/>
        <v>#DIV/0!</v>
      </c>
      <c r="U19" s="174">
        <f>J19*'HR       '!$L$12</f>
        <v>0</v>
      </c>
      <c r="V19" s="175" t="e">
        <f>(Y19*('HR       '!$E$9/60))+(('HR       '!$E$7/60)*Z19)+(((P19-450)/1000)*'HR       '!$E$10*Z19)</f>
        <v>#DIV/0!</v>
      </c>
      <c r="W19" s="176"/>
      <c r="X19" s="160">
        <f t="shared" si="1"/>
        <v>0</v>
      </c>
      <c r="Y19" s="160">
        <f t="shared" si="2"/>
        <v>0</v>
      </c>
      <c r="Z19" s="179" t="e">
        <f>((H19+((('HR       '!$E$5*'HR       '!$E$6))*G19)+(F19*5))*I19)/L19</f>
        <v>#DIV/0!</v>
      </c>
      <c r="AA19" s="177" t="e">
        <f t="shared" si="4"/>
        <v>#DIV/0!</v>
      </c>
      <c r="AB19" s="181" t="e">
        <f t="shared" si="3"/>
        <v>#DIV/0!</v>
      </c>
    </row>
    <row r="20" spans="2:28" s="24" customFormat="1" ht="33" customHeight="1">
      <c r="B20" s="326">
        <v>12</v>
      </c>
      <c r="C20" s="332"/>
      <c r="D20" s="314"/>
      <c r="E20" s="315"/>
      <c r="F20" s="315"/>
      <c r="G20" s="333"/>
      <c r="H20" s="329"/>
      <c r="I20" s="330"/>
      <c r="J20" s="318"/>
      <c r="K20" s="325">
        <v>4</v>
      </c>
      <c r="L20" s="333"/>
      <c r="M20" s="314"/>
      <c r="N20" s="322"/>
      <c r="O20" s="186">
        <v>1.1000000000000001</v>
      </c>
      <c r="P20" s="188">
        <v>700</v>
      </c>
      <c r="Q20" s="335"/>
      <c r="R20" s="158" t="e">
        <f t="shared" si="5"/>
        <v>#DIV/0!</v>
      </c>
      <c r="S20" s="159">
        <f t="shared" si="0"/>
        <v>0</v>
      </c>
      <c r="T20" s="173" t="e">
        <f t="shared" si="6"/>
        <v>#DIV/0!</v>
      </c>
      <c r="U20" s="174">
        <f>J20*'HR       '!$L$12</f>
        <v>0</v>
      </c>
      <c r="V20" s="175" t="e">
        <f>(Y20*('HR       '!$E$9/60))+(('HR       '!$E$7/60)*Z20)+(((P20-450)/1000)*'HR       '!$E$10*Z20)</f>
        <v>#DIV/0!</v>
      </c>
      <c r="W20" s="176"/>
      <c r="X20" s="160">
        <f t="shared" si="1"/>
        <v>0</v>
      </c>
      <c r="Y20" s="160">
        <f t="shared" si="2"/>
        <v>0</v>
      </c>
      <c r="Z20" s="179" t="e">
        <f>((H20+((('HR       '!$E$5*'HR       '!$E$6))*G20)+(F20*5))*I20)/L20</f>
        <v>#DIV/0!</v>
      </c>
      <c r="AA20" s="177" t="e">
        <f t="shared" si="4"/>
        <v>#DIV/0!</v>
      </c>
      <c r="AB20" s="181" t="e">
        <f t="shared" si="3"/>
        <v>#DIV/0!</v>
      </c>
    </row>
    <row r="21" spans="2:28" s="24" customFormat="1" ht="33" customHeight="1">
      <c r="B21" s="326">
        <v>13</v>
      </c>
      <c r="C21" s="332"/>
      <c r="D21" s="314"/>
      <c r="E21" s="315"/>
      <c r="F21" s="315"/>
      <c r="G21" s="333"/>
      <c r="H21" s="329"/>
      <c r="I21" s="330"/>
      <c r="J21" s="318"/>
      <c r="K21" s="325">
        <v>4</v>
      </c>
      <c r="L21" s="333"/>
      <c r="M21" s="314"/>
      <c r="N21" s="322"/>
      <c r="O21" s="186">
        <v>1.1000000000000001</v>
      </c>
      <c r="P21" s="188">
        <v>700</v>
      </c>
      <c r="Q21" s="335"/>
      <c r="R21" s="158" t="e">
        <f t="shared" si="5"/>
        <v>#DIV/0!</v>
      </c>
      <c r="S21" s="159">
        <f t="shared" si="0"/>
        <v>0</v>
      </c>
      <c r="T21" s="173" t="e">
        <f t="shared" si="6"/>
        <v>#DIV/0!</v>
      </c>
      <c r="U21" s="174">
        <f>J21*'HR       '!$L$12</f>
        <v>0</v>
      </c>
      <c r="V21" s="175" t="e">
        <f>(Y21*('HR       '!$E$9/60))+(('HR       '!$E$7/60)*Z21)+(((P21-450)/1000)*'HR       '!$E$10*Z21)</f>
        <v>#DIV/0!</v>
      </c>
      <c r="W21" s="176"/>
      <c r="X21" s="160">
        <f t="shared" si="1"/>
        <v>0</v>
      </c>
      <c r="Y21" s="160">
        <f t="shared" si="2"/>
        <v>0</v>
      </c>
      <c r="Z21" s="179" t="e">
        <f>((H21+((('HR       '!$E$5*'HR       '!$E$6))*G21)+(F21*5))*I21)/L21</f>
        <v>#DIV/0!</v>
      </c>
      <c r="AA21" s="177" t="e">
        <f t="shared" si="4"/>
        <v>#DIV/0!</v>
      </c>
      <c r="AB21" s="181" t="e">
        <f t="shared" si="3"/>
        <v>#DIV/0!</v>
      </c>
    </row>
    <row r="22" spans="2:28" s="24" customFormat="1" ht="33" customHeight="1">
      <c r="B22" s="326">
        <v>14</v>
      </c>
      <c r="C22" s="332"/>
      <c r="D22" s="314"/>
      <c r="E22" s="315"/>
      <c r="F22" s="315"/>
      <c r="G22" s="333"/>
      <c r="H22" s="329"/>
      <c r="I22" s="330"/>
      <c r="J22" s="318"/>
      <c r="K22" s="325">
        <v>4</v>
      </c>
      <c r="L22" s="333"/>
      <c r="M22" s="314"/>
      <c r="N22" s="322"/>
      <c r="O22" s="186">
        <v>1.1000000000000001</v>
      </c>
      <c r="P22" s="188">
        <v>700</v>
      </c>
      <c r="Q22" s="335"/>
      <c r="R22" s="158" t="e">
        <f>ROUNDUP((T22/S22),0)</f>
        <v>#DIV/0!</v>
      </c>
      <c r="S22" s="159">
        <f t="shared" si="0"/>
        <v>0</v>
      </c>
      <c r="T22" s="173" t="e">
        <f>ROUNDUP((V22+U22),0)</f>
        <v>#DIV/0!</v>
      </c>
      <c r="U22" s="174">
        <f>J22*'HR       '!$L$12</f>
        <v>0</v>
      </c>
      <c r="V22" s="175" t="e">
        <f>(Y22*('HR       '!$E$9/60))+(('HR       '!$E$7/60)*Z22)+(((P22-450)/1000)*'HR       '!$E$10*Z22)</f>
        <v>#DIV/0!</v>
      </c>
      <c r="W22" s="176"/>
      <c r="X22" s="160">
        <f t="shared" si="1"/>
        <v>0</v>
      </c>
      <c r="Y22" s="160">
        <f t="shared" si="2"/>
        <v>0</v>
      </c>
      <c r="Z22" s="179" t="e">
        <f>((H22+((('HR       '!$E$5*'HR       '!$E$6))*G22)+(F22*5))*I22)/L22</f>
        <v>#DIV/0!</v>
      </c>
      <c r="AA22" s="177" t="e">
        <f t="shared" si="4"/>
        <v>#DIV/0!</v>
      </c>
      <c r="AB22" s="181" t="e">
        <f t="shared" si="3"/>
        <v>#DIV/0!</v>
      </c>
    </row>
    <row r="23" spans="2:28" s="24" customFormat="1" ht="33" customHeight="1">
      <c r="B23" s="326">
        <v>15</v>
      </c>
      <c r="C23" s="332"/>
      <c r="D23" s="314"/>
      <c r="E23" s="315"/>
      <c r="F23" s="315"/>
      <c r="G23" s="333"/>
      <c r="H23" s="329"/>
      <c r="I23" s="330"/>
      <c r="J23" s="318"/>
      <c r="K23" s="325">
        <v>4</v>
      </c>
      <c r="L23" s="333"/>
      <c r="M23" s="314"/>
      <c r="N23" s="322"/>
      <c r="O23" s="186">
        <v>1.1000000000000001</v>
      </c>
      <c r="P23" s="188">
        <v>700</v>
      </c>
      <c r="Q23" s="335"/>
      <c r="R23" s="158" t="e">
        <f t="shared" ref="R23:R36" si="7">ROUNDUP((T23/S23),0)</f>
        <v>#DIV/0!</v>
      </c>
      <c r="S23" s="159">
        <f t="shared" si="0"/>
        <v>0</v>
      </c>
      <c r="T23" s="173" t="e">
        <f t="shared" ref="T23:T36" si="8">ROUNDUP((V23+U23),0)</f>
        <v>#DIV/0!</v>
      </c>
      <c r="U23" s="174">
        <f>J23*'HR       '!$L$12</f>
        <v>0</v>
      </c>
      <c r="V23" s="175" t="e">
        <f>(Y23*('HR       '!$E$9/60))+(('HR       '!$E$7/60)*Z23)+(((P23-450)/1000)*'HR       '!$E$10*Z23)</f>
        <v>#DIV/0!</v>
      </c>
      <c r="W23" s="176"/>
      <c r="X23" s="160">
        <f t="shared" si="1"/>
        <v>0</v>
      </c>
      <c r="Y23" s="160">
        <f t="shared" si="2"/>
        <v>0</v>
      </c>
      <c r="Z23" s="179" t="e">
        <f>((H23+((('HR       '!$E$5*'HR       '!$E$6))*G23)+(F23*5))*I23)/L23</f>
        <v>#DIV/0!</v>
      </c>
      <c r="AA23" s="177" t="e">
        <f t="shared" si="4"/>
        <v>#DIV/0!</v>
      </c>
      <c r="AB23" s="181" t="e">
        <f t="shared" si="3"/>
        <v>#DIV/0!</v>
      </c>
    </row>
    <row r="24" spans="2:28" s="24" customFormat="1" ht="33" customHeight="1">
      <c r="B24" s="326">
        <v>16</v>
      </c>
      <c r="C24" s="332"/>
      <c r="D24" s="314"/>
      <c r="E24" s="315"/>
      <c r="F24" s="315"/>
      <c r="G24" s="333"/>
      <c r="H24" s="329"/>
      <c r="I24" s="330"/>
      <c r="J24" s="318"/>
      <c r="K24" s="325">
        <v>4</v>
      </c>
      <c r="L24" s="333"/>
      <c r="M24" s="314"/>
      <c r="N24" s="322"/>
      <c r="O24" s="186">
        <v>1.1000000000000001</v>
      </c>
      <c r="P24" s="188">
        <v>700</v>
      </c>
      <c r="Q24" s="335"/>
      <c r="R24" s="158" t="e">
        <f t="shared" si="7"/>
        <v>#DIV/0!</v>
      </c>
      <c r="S24" s="159">
        <f t="shared" si="0"/>
        <v>0</v>
      </c>
      <c r="T24" s="173" t="e">
        <f t="shared" si="8"/>
        <v>#DIV/0!</v>
      </c>
      <c r="U24" s="174">
        <f>J24*'HR       '!$L$12</f>
        <v>0</v>
      </c>
      <c r="V24" s="175" t="e">
        <f>(Y24*('HR       '!$E$9/60))+(('HR       '!$E$7/60)*Z24)+(((P24-450)/1000)*'HR       '!$E$10*Z24)</f>
        <v>#DIV/0!</v>
      </c>
      <c r="W24" s="176"/>
      <c r="X24" s="160">
        <f t="shared" si="1"/>
        <v>0</v>
      </c>
      <c r="Y24" s="160">
        <f t="shared" si="2"/>
        <v>0</v>
      </c>
      <c r="Z24" s="179" t="e">
        <f>((H24+((('HR       '!$E$5*'HR       '!$E$6))*G24)+(F24*5))*I24)/L24</f>
        <v>#DIV/0!</v>
      </c>
      <c r="AA24" s="177" t="e">
        <f t="shared" si="4"/>
        <v>#DIV/0!</v>
      </c>
      <c r="AB24" s="181" t="e">
        <f t="shared" si="3"/>
        <v>#DIV/0!</v>
      </c>
    </row>
    <row r="25" spans="2:28" s="24" customFormat="1" ht="33" customHeight="1">
      <c r="B25" s="326">
        <v>17</v>
      </c>
      <c r="C25" s="332"/>
      <c r="D25" s="314"/>
      <c r="E25" s="315"/>
      <c r="F25" s="315"/>
      <c r="G25" s="333"/>
      <c r="H25" s="329"/>
      <c r="I25" s="330"/>
      <c r="J25" s="318"/>
      <c r="K25" s="325">
        <v>4</v>
      </c>
      <c r="L25" s="333"/>
      <c r="M25" s="314"/>
      <c r="N25" s="322"/>
      <c r="O25" s="186">
        <v>1.1000000000000001</v>
      </c>
      <c r="P25" s="188">
        <v>700</v>
      </c>
      <c r="Q25" s="335"/>
      <c r="R25" s="158" t="e">
        <f t="shared" si="7"/>
        <v>#DIV/0!</v>
      </c>
      <c r="S25" s="159">
        <f t="shared" si="0"/>
        <v>0</v>
      </c>
      <c r="T25" s="173" t="e">
        <f t="shared" si="8"/>
        <v>#DIV/0!</v>
      </c>
      <c r="U25" s="174">
        <f>J25*'HR       '!$L$12</f>
        <v>0</v>
      </c>
      <c r="V25" s="175" t="e">
        <f>(Y25*('HR       '!$E$9/60))+(('HR       '!$E$7/60)*Z25)+(((P25-450)/1000)*'HR       '!$E$10*Z25)</f>
        <v>#DIV/0!</v>
      </c>
      <c r="W25" s="176"/>
      <c r="X25" s="160">
        <f t="shared" si="1"/>
        <v>0</v>
      </c>
      <c r="Y25" s="160">
        <f t="shared" si="2"/>
        <v>0</v>
      </c>
      <c r="Z25" s="179" t="e">
        <f>((H25+((('HR       '!$E$5*'HR       '!$E$6))*G25)+(F25*5))*I25)/L25</f>
        <v>#DIV/0!</v>
      </c>
      <c r="AA25" s="177" t="e">
        <f t="shared" si="4"/>
        <v>#DIV/0!</v>
      </c>
      <c r="AB25" s="181" t="e">
        <f t="shared" si="3"/>
        <v>#DIV/0!</v>
      </c>
    </row>
    <row r="26" spans="2:28" s="24" customFormat="1" ht="33" customHeight="1">
      <c r="B26" s="326">
        <v>18</v>
      </c>
      <c r="C26" s="332"/>
      <c r="D26" s="314"/>
      <c r="E26" s="315"/>
      <c r="F26" s="315"/>
      <c r="G26" s="333"/>
      <c r="H26" s="329"/>
      <c r="I26" s="330"/>
      <c r="J26" s="318"/>
      <c r="K26" s="325">
        <v>4</v>
      </c>
      <c r="L26" s="333"/>
      <c r="M26" s="314"/>
      <c r="N26" s="322"/>
      <c r="O26" s="186">
        <v>1.1000000000000001</v>
      </c>
      <c r="P26" s="188">
        <v>700</v>
      </c>
      <c r="Q26" s="335"/>
      <c r="R26" s="158" t="e">
        <f t="shared" si="7"/>
        <v>#DIV/0!</v>
      </c>
      <c r="S26" s="159">
        <f t="shared" si="0"/>
        <v>0</v>
      </c>
      <c r="T26" s="173" t="e">
        <f t="shared" si="8"/>
        <v>#DIV/0!</v>
      </c>
      <c r="U26" s="174">
        <f>J26*'HR       '!$L$12</f>
        <v>0</v>
      </c>
      <c r="V26" s="175" t="e">
        <f>(Y26*('HR       '!$E$9/60))+(('HR       '!$E$7/60)*Z26)+(((P26-450)/1000)*'HR       '!$E$10*Z26)</f>
        <v>#DIV/0!</v>
      </c>
      <c r="W26" s="176"/>
      <c r="X26" s="160">
        <f t="shared" si="1"/>
        <v>0</v>
      </c>
      <c r="Y26" s="160">
        <f t="shared" si="2"/>
        <v>0</v>
      </c>
      <c r="Z26" s="179" t="e">
        <f>((H26+((('HR       '!$E$5*'HR       '!$E$6))*G26)+(F26*5))*I26)/L26</f>
        <v>#DIV/0!</v>
      </c>
      <c r="AA26" s="177" t="e">
        <f t="shared" si="4"/>
        <v>#DIV/0!</v>
      </c>
      <c r="AB26" s="181" t="e">
        <f t="shared" si="3"/>
        <v>#DIV/0!</v>
      </c>
    </row>
    <row r="27" spans="2:28" ht="33" customHeight="1">
      <c r="B27" s="326">
        <v>19</v>
      </c>
      <c r="C27" s="332"/>
      <c r="D27" s="314"/>
      <c r="E27" s="315"/>
      <c r="F27" s="315"/>
      <c r="G27" s="333"/>
      <c r="H27" s="329"/>
      <c r="I27" s="330"/>
      <c r="J27" s="318"/>
      <c r="K27" s="325">
        <v>4</v>
      </c>
      <c r="L27" s="333"/>
      <c r="M27" s="314"/>
      <c r="N27" s="322"/>
      <c r="O27" s="186">
        <v>1.1000000000000001</v>
      </c>
      <c r="P27" s="188">
        <v>700</v>
      </c>
      <c r="Q27" s="335"/>
      <c r="R27" s="158" t="e">
        <f t="shared" si="7"/>
        <v>#DIV/0!</v>
      </c>
      <c r="S27" s="159">
        <f t="shared" si="0"/>
        <v>0</v>
      </c>
      <c r="T27" s="173" t="e">
        <f t="shared" si="8"/>
        <v>#DIV/0!</v>
      </c>
      <c r="U27" s="174">
        <f>J27*'HR       '!$L$12</f>
        <v>0</v>
      </c>
      <c r="V27" s="175" t="e">
        <f>(Y27*('HR       '!$E$9/60))+(('HR       '!$E$7/60)*Z27)+(((P27-450)/1000)*'HR       '!$E$10*Z27)</f>
        <v>#DIV/0!</v>
      </c>
      <c r="W27" s="176"/>
      <c r="X27" s="160">
        <f t="shared" si="1"/>
        <v>0</v>
      </c>
      <c r="Y27" s="160">
        <f t="shared" si="2"/>
        <v>0</v>
      </c>
      <c r="Z27" s="179" t="e">
        <f>((H27+((('HR       '!$E$5*'HR       '!$E$6))*G27)+(F27*5))*I27)/L27</f>
        <v>#DIV/0!</v>
      </c>
      <c r="AA27" s="177" t="e">
        <f t="shared" si="4"/>
        <v>#DIV/0!</v>
      </c>
      <c r="AB27" s="181" t="e">
        <f t="shared" si="3"/>
        <v>#DIV/0!</v>
      </c>
    </row>
    <row r="28" spans="2:28" ht="33" customHeight="1">
      <c r="B28" s="326">
        <v>20</v>
      </c>
      <c r="C28" s="332"/>
      <c r="D28" s="314"/>
      <c r="E28" s="315"/>
      <c r="F28" s="315"/>
      <c r="G28" s="333"/>
      <c r="H28" s="329"/>
      <c r="I28" s="330"/>
      <c r="J28" s="318"/>
      <c r="K28" s="325">
        <v>4</v>
      </c>
      <c r="L28" s="333"/>
      <c r="M28" s="314"/>
      <c r="N28" s="322"/>
      <c r="O28" s="186">
        <v>1.1000000000000001</v>
      </c>
      <c r="P28" s="188">
        <v>700</v>
      </c>
      <c r="Q28" s="335"/>
      <c r="R28" s="158" t="e">
        <f t="shared" si="7"/>
        <v>#DIV/0!</v>
      </c>
      <c r="S28" s="159">
        <f t="shared" si="0"/>
        <v>0</v>
      </c>
      <c r="T28" s="173" t="e">
        <f t="shared" si="8"/>
        <v>#DIV/0!</v>
      </c>
      <c r="U28" s="174">
        <f>J28*'HR       '!$L$12</f>
        <v>0</v>
      </c>
      <c r="V28" s="175" t="e">
        <f>(Y28*('HR       '!$E$9/60))+(('HR       '!$E$7/60)*Z28)+(((P28-450)/1000)*'HR       '!$E$10*Z28)</f>
        <v>#DIV/0!</v>
      </c>
      <c r="W28" s="176"/>
      <c r="X28" s="160">
        <f t="shared" si="1"/>
        <v>0</v>
      </c>
      <c r="Y28" s="160">
        <f t="shared" si="2"/>
        <v>0</v>
      </c>
      <c r="Z28" s="179" t="e">
        <f>((H28+((('HR       '!$E$5*'HR       '!$E$6))*G28)+(F28*5))*I28)/L28</f>
        <v>#DIV/0!</v>
      </c>
      <c r="AA28" s="177" t="e">
        <f t="shared" si="4"/>
        <v>#DIV/0!</v>
      </c>
      <c r="AB28" s="181" t="e">
        <f t="shared" si="3"/>
        <v>#DIV/0!</v>
      </c>
    </row>
    <row r="29" spans="2:28" ht="33" customHeight="1">
      <c r="B29" s="326">
        <v>21</v>
      </c>
      <c r="C29" s="332"/>
      <c r="D29" s="314"/>
      <c r="E29" s="315"/>
      <c r="F29" s="315"/>
      <c r="G29" s="333"/>
      <c r="H29" s="329"/>
      <c r="I29" s="330"/>
      <c r="J29" s="318"/>
      <c r="K29" s="325">
        <v>4</v>
      </c>
      <c r="L29" s="333"/>
      <c r="M29" s="314"/>
      <c r="N29" s="322"/>
      <c r="O29" s="186">
        <v>1.1000000000000001</v>
      </c>
      <c r="P29" s="188">
        <v>700</v>
      </c>
      <c r="Q29" s="335"/>
      <c r="R29" s="158" t="e">
        <f t="shared" si="7"/>
        <v>#DIV/0!</v>
      </c>
      <c r="S29" s="159">
        <f t="shared" si="0"/>
        <v>0</v>
      </c>
      <c r="T29" s="173" t="e">
        <f t="shared" si="8"/>
        <v>#DIV/0!</v>
      </c>
      <c r="U29" s="174">
        <f>J29*'HR       '!$L$12</f>
        <v>0</v>
      </c>
      <c r="V29" s="175" t="e">
        <f>(Y29*('HR       '!$E$9/60))+(('HR       '!$E$7/60)*Z29)+(((P29-450)/1000)*'HR       '!$E$10*Z29)</f>
        <v>#DIV/0!</v>
      </c>
      <c r="W29" s="176"/>
      <c r="X29" s="160">
        <f t="shared" si="1"/>
        <v>0</v>
      </c>
      <c r="Y29" s="160">
        <f t="shared" si="2"/>
        <v>0</v>
      </c>
      <c r="Z29" s="179" t="e">
        <f>((H29+((('HR       '!$E$5*'HR       '!$E$6))*G29)+(F29*5))*I29)/L29</f>
        <v>#DIV/0!</v>
      </c>
      <c r="AA29" s="177" t="e">
        <f t="shared" si="4"/>
        <v>#DIV/0!</v>
      </c>
      <c r="AB29" s="181" t="e">
        <f t="shared" si="3"/>
        <v>#DIV/0!</v>
      </c>
    </row>
    <row r="30" spans="2:28" ht="33" customHeight="1">
      <c r="B30" s="326">
        <v>22</v>
      </c>
      <c r="C30" s="332"/>
      <c r="D30" s="314"/>
      <c r="E30" s="315"/>
      <c r="F30" s="315"/>
      <c r="G30" s="333"/>
      <c r="H30" s="329"/>
      <c r="I30" s="330"/>
      <c r="J30" s="318"/>
      <c r="K30" s="325">
        <v>4</v>
      </c>
      <c r="L30" s="333"/>
      <c r="M30" s="314"/>
      <c r="N30" s="322"/>
      <c r="O30" s="186">
        <v>1.1000000000000001</v>
      </c>
      <c r="P30" s="188">
        <v>700</v>
      </c>
      <c r="Q30" s="335"/>
      <c r="R30" s="158" t="e">
        <f t="shared" si="7"/>
        <v>#DIV/0!</v>
      </c>
      <c r="S30" s="159">
        <f t="shared" si="0"/>
        <v>0</v>
      </c>
      <c r="T30" s="173" t="e">
        <f t="shared" si="8"/>
        <v>#DIV/0!</v>
      </c>
      <c r="U30" s="174">
        <f>J30*'HR       '!$L$12</f>
        <v>0</v>
      </c>
      <c r="V30" s="175" t="e">
        <f>(Y30*('HR       '!$E$9/60))+(('HR       '!$E$7/60)*Z30)+(((P30-450)/1000)*'HR       '!$E$10*Z30)</f>
        <v>#DIV/0!</v>
      </c>
      <c r="W30" s="176"/>
      <c r="X30" s="160">
        <f t="shared" si="1"/>
        <v>0</v>
      </c>
      <c r="Y30" s="160">
        <f t="shared" si="2"/>
        <v>0</v>
      </c>
      <c r="Z30" s="179" t="e">
        <f>((H30+((('HR       '!$E$5*'HR       '!$E$6))*G30)+(F30*5))*I30)/L30</f>
        <v>#DIV/0!</v>
      </c>
      <c r="AA30" s="177" t="e">
        <f t="shared" si="4"/>
        <v>#DIV/0!</v>
      </c>
      <c r="AB30" s="181" t="e">
        <f t="shared" si="3"/>
        <v>#DIV/0!</v>
      </c>
    </row>
    <row r="31" spans="2:28" ht="33" customHeight="1">
      <c r="B31" s="326">
        <v>23</v>
      </c>
      <c r="C31" s="332"/>
      <c r="D31" s="314"/>
      <c r="E31" s="315"/>
      <c r="F31" s="315"/>
      <c r="G31" s="333"/>
      <c r="H31" s="329"/>
      <c r="I31" s="330"/>
      <c r="J31" s="318"/>
      <c r="K31" s="325">
        <v>4</v>
      </c>
      <c r="L31" s="333"/>
      <c r="M31" s="314"/>
      <c r="N31" s="322"/>
      <c r="O31" s="186">
        <v>1.1000000000000001</v>
      </c>
      <c r="P31" s="188">
        <v>700</v>
      </c>
      <c r="Q31" s="335"/>
      <c r="R31" s="158" t="e">
        <f t="shared" si="7"/>
        <v>#DIV/0!</v>
      </c>
      <c r="S31" s="159">
        <f t="shared" si="0"/>
        <v>0</v>
      </c>
      <c r="T31" s="173" t="e">
        <f t="shared" si="8"/>
        <v>#DIV/0!</v>
      </c>
      <c r="U31" s="174">
        <f>J31*'HR       '!$L$12</f>
        <v>0</v>
      </c>
      <c r="V31" s="175" t="e">
        <f>(Y31*('HR       '!$E$9/60))+(('HR       '!$E$7/60)*Z31)+(((P31-450)/1000)*'HR       '!$E$10*Z31)</f>
        <v>#DIV/0!</v>
      </c>
      <c r="W31" s="176"/>
      <c r="X31" s="160">
        <f t="shared" si="1"/>
        <v>0</v>
      </c>
      <c r="Y31" s="160">
        <f t="shared" si="2"/>
        <v>0</v>
      </c>
      <c r="Z31" s="179" t="e">
        <f>((H31+((('HR       '!$E$5*'HR       '!$E$6))*G31)+(F31*5))*I31)/L31</f>
        <v>#DIV/0!</v>
      </c>
      <c r="AA31" s="177" t="e">
        <f t="shared" si="4"/>
        <v>#DIV/0!</v>
      </c>
      <c r="AB31" s="181" t="e">
        <f t="shared" si="3"/>
        <v>#DIV/0!</v>
      </c>
    </row>
    <row r="32" spans="2:28" ht="33" customHeight="1">
      <c r="B32" s="326">
        <v>24</v>
      </c>
      <c r="C32" s="332"/>
      <c r="D32" s="314"/>
      <c r="E32" s="315"/>
      <c r="F32" s="315"/>
      <c r="G32" s="333"/>
      <c r="H32" s="329"/>
      <c r="I32" s="330"/>
      <c r="J32" s="318"/>
      <c r="K32" s="325">
        <v>4</v>
      </c>
      <c r="L32" s="333"/>
      <c r="M32" s="314"/>
      <c r="N32" s="322"/>
      <c r="O32" s="186">
        <v>1.1000000000000001</v>
      </c>
      <c r="P32" s="188">
        <v>700</v>
      </c>
      <c r="Q32" s="335"/>
      <c r="R32" s="158" t="e">
        <f t="shared" si="7"/>
        <v>#DIV/0!</v>
      </c>
      <c r="S32" s="159">
        <f t="shared" si="0"/>
        <v>0</v>
      </c>
      <c r="T32" s="173" t="e">
        <f t="shared" si="8"/>
        <v>#DIV/0!</v>
      </c>
      <c r="U32" s="174">
        <f>J32*'HR       '!$L$12</f>
        <v>0</v>
      </c>
      <c r="V32" s="175" t="e">
        <f>(Y32*('HR       '!$E$9/60))+(('HR       '!$E$7/60)*Z32)+(((P32-450)/1000)*'HR       '!$E$10*Z32)</f>
        <v>#DIV/0!</v>
      </c>
      <c r="W32" s="176"/>
      <c r="X32" s="160">
        <f t="shared" si="1"/>
        <v>0</v>
      </c>
      <c r="Y32" s="160">
        <f t="shared" si="2"/>
        <v>0</v>
      </c>
      <c r="Z32" s="179" t="e">
        <f>((H32+((('HR       '!$E$5*'HR       '!$E$6))*G32)+(F32*5))*I32)/L32</f>
        <v>#DIV/0!</v>
      </c>
      <c r="AA32" s="177" t="e">
        <f t="shared" si="4"/>
        <v>#DIV/0!</v>
      </c>
      <c r="AB32" s="181" t="e">
        <f t="shared" si="3"/>
        <v>#DIV/0!</v>
      </c>
    </row>
    <row r="33" spans="2:28" ht="33" customHeight="1">
      <c r="B33" s="326">
        <v>25</v>
      </c>
      <c r="C33" s="332"/>
      <c r="D33" s="314"/>
      <c r="E33" s="315"/>
      <c r="F33" s="315"/>
      <c r="G33" s="333"/>
      <c r="H33" s="329"/>
      <c r="I33" s="330"/>
      <c r="J33" s="318"/>
      <c r="K33" s="325">
        <v>4</v>
      </c>
      <c r="L33" s="333"/>
      <c r="M33" s="314"/>
      <c r="N33" s="322"/>
      <c r="O33" s="186">
        <v>1.1000000000000001</v>
      </c>
      <c r="P33" s="188">
        <v>700</v>
      </c>
      <c r="Q33" s="335"/>
      <c r="R33" s="158" t="e">
        <f t="shared" si="7"/>
        <v>#DIV/0!</v>
      </c>
      <c r="S33" s="159">
        <f t="shared" si="0"/>
        <v>0</v>
      </c>
      <c r="T33" s="173" t="e">
        <f t="shared" si="8"/>
        <v>#DIV/0!</v>
      </c>
      <c r="U33" s="174">
        <f>J33*'HR       '!$L$12</f>
        <v>0</v>
      </c>
      <c r="V33" s="175" t="e">
        <f>(Y33*('HR       '!$E$9/60))+(('HR       '!$E$7/60)*Z33)+(((P33-450)/1000)*'HR       '!$E$10*Z33)</f>
        <v>#DIV/0!</v>
      </c>
      <c r="W33" s="176"/>
      <c r="X33" s="160">
        <f t="shared" si="1"/>
        <v>0</v>
      </c>
      <c r="Y33" s="160">
        <f t="shared" si="2"/>
        <v>0</v>
      </c>
      <c r="Z33" s="179" t="e">
        <f>((H33+((('HR       '!$E$5*'HR       '!$E$6))*G33)+(F33*5))*I33)/L33</f>
        <v>#DIV/0!</v>
      </c>
      <c r="AA33" s="177" t="e">
        <f t="shared" si="4"/>
        <v>#DIV/0!</v>
      </c>
      <c r="AB33" s="181" t="e">
        <f t="shared" si="3"/>
        <v>#DIV/0!</v>
      </c>
    </row>
    <row r="34" spans="2:28" ht="33" customHeight="1">
      <c r="B34" s="326">
        <v>26</v>
      </c>
      <c r="C34" s="332"/>
      <c r="D34" s="314"/>
      <c r="E34" s="315"/>
      <c r="F34" s="315"/>
      <c r="G34" s="333"/>
      <c r="H34" s="329"/>
      <c r="I34" s="330"/>
      <c r="J34" s="318"/>
      <c r="K34" s="325">
        <v>4</v>
      </c>
      <c r="L34" s="333"/>
      <c r="M34" s="314"/>
      <c r="N34" s="322"/>
      <c r="O34" s="186">
        <v>1.1000000000000001</v>
      </c>
      <c r="P34" s="188">
        <v>700</v>
      </c>
      <c r="Q34" s="335"/>
      <c r="R34" s="158" t="e">
        <f t="shared" si="7"/>
        <v>#DIV/0!</v>
      </c>
      <c r="S34" s="159">
        <f t="shared" si="0"/>
        <v>0</v>
      </c>
      <c r="T34" s="173" t="e">
        <f t="shared" si="8"/>
        <v>#DIV/0!</v>
      </c>
      <c r="U34" s="174">
        <f>J34*'HR       '!$L$12</f>
        <v>0</v>
      </c>
      <c r="V34" s="175" t="e">
        <f>(Y34*('HR       '!$E$9/60))+(('HR       '!$E$7/60)*Z34)+(((P34-450)/1000)*'HR       '!$E$10*Z34)</f>
        <v>#DIV/0!</v>
      </c>
      <c r="W34" s="176"/>
      <c r="X34" s="160">
        <f t="shared" si="1"/>
        <v>0</v>
      </c>
      <c r="Y34" s="160">
        <f t="shared" si="2"/>
        <v>0</v>
      </c>
      <c r="Z34" s="179" t="e">
        <f>((H34+((('HR       '!$E$5*'HR       '!$E$6))*G34)+(F34*5))*I34)/L34</f>
        <v>#DIV/0!</v>
      </c>
      <c r="AA34" s="177" t="e">
        <f t="shared" si="4"/>
        <v>#DIV/0!</v>
      </c>
      <c r="AB34" s="181" t="e">
        <f t="shared" si="3"/>
        <v>#DIV/0!</v>
      </c>
    </row>
    <row r="35" spans="2:28" ht="33" customHeight="1">
      <c r="B35" s="326">
        <v>27</v>
      </c>
      <c r="C35" s="332"/>
      <c r="D35" s="314"/>
      <c r="E35" s="315"/>
      <c r="F35" s="315"/>
      <c r="G35" s="333"/>
      <c r="H35" s="329"/>
      <c r="I35" s="330"/>
      <c r="J35" s="318"/>
      <c r="K35" s="325">
        <v>4</v>
      </c>
      <c r="L35" s="333"/>
      <c r="M35" s="314"/>
      <c r="N35" s="322"/>
      <c r="O35" s="186">
        <v>1.1000000000000001</v>
      </c>
      <c r="P35" s="188">
        <v>700</v>
      </c>
      <c r="Q35" s="335"/>
      <c r="R35" s="158" t="e">
        <f t="shared" si="7"/>
        <v>#DIV/0!</v>
      </c>
      <c r="S35" s="159">
        <f t="shared" si="0"/>
        <v>0</v>
      </c>
      <c r="T35" s="173" t="e">
        <f t="shared" si="8"/>
        <v>#DIV/0!</v>
      </c>
      <c r="U35" s="174">
        <f>J35*'HR       '!$L$12</f>
        <v>0</v>
      </c>
      <c r="V35" s="175" t="e">
        <f>(Y35*('HR       '!$E$9/60))+(('HR       '!$E$7/60)*Z35)+(((P35-450)/1000)*'HR       '!$E$10*Z35)</f>
        <v>#DIV/0!</v>
      </c>
      <c r="W35" s="176"/>
      <c r="X35" s="160">
        <f t="shared" si="1"/>
        <v>0</v>
      </c>
      <c r="Y35" s="160">
        <f t="shared" si="2"/>
        <v>0</v>
      </c>
      <c r="Z35" s="179" t="e">
        <f>((H35+((('HR       '!$E$5*'HR       '!$E$6))*G35)+(F35*5))*I35)/L35</f>
        <v>#DIV/0!</v>
      </c>
      <c r="AA35" s="177" t="e">
        <f t="shared" si="4"/>
        <v>#DIV/0!</v>
      </c>
      <c r="AB35" s="181" t="e">
        <f t="shared" si="3"/>
        <v>#DIV/0!</v>
      </c>
    </row>
    <row r="36" spans="2:28" ht="33" customHeight="1">
      <c r="B36" s="326">
        <v>28</v>
      </c>
      <c r="C36" s="332"/>
      <c r="D36" s="314"/>
      <c r="E36" s="315"/>
      <c r="F36" s="315"/>
      <c r="G36" s="333"/>
      <c r="H36" s="329"/>
      <c r="I36" s="330"/>
      <c r="J36" s="318"/>
      <c r="K36" s="325">
        <v>4</v>
      </c>
      <c r="L36" s="333"/>
      <c r="M36" s="314"/>
      <c r="N36" s="322"/>
      <c r="O36" s="186">
        <v>1.1000000000000001</v>
      </c>
      <c r="P36" s="188">
        <v>700</v>
      </c>
      <c r="Q36" s="335"/>
      <c r="R36" s="158" t="e">
        <f t="shared" si="7"/>
        <v>#DIV/0!</v>
      </c>
      <c r="S36" s="159">
        <f t="shared" si="0"/>
        <v>0</v>
      </c>
      <c r="T36" s="173" t="e">
        <f t="shared" si="8"/>
        <v>#DIV/0!</v>
      </c>
      <c r="U36" s="174">
        <f>J36*'HR       '!$L$12</f>
        <v>0</v>
      </c>
      <c r="V36" s="175" t="e">
        <f>(Y36*('HR       '!$E$9/60))+(('HR       '!$E$7/60)*Z36)+(((P36-450)/1000)*'HR       '!$E$10*Z36)</f>
        <v>#DIV/0!</v>
      </c>
      <c r="W36" s="176"/>
      <c r="X36" s="160">
        <f t="shared" si="1"/>
        <v>0</v>
      </c>
      <c r="Y36" s="160">
        <f t="shared" si="2"/>
        <v>0</v>
      </c>
      <c r="Z36" s="179" t="e">
        <f>((H36+((('HR       '!$E$5*'HR       '!$E$6))*G36)+(F36*5))*I36)/L36</f>
        <v>#DIV/0!</v>
      </c>
      <c r="AA36" s="177" t="e">
        <f t="shared" si="4"/>
        <v>#DIV/0!</v>
      </c>
      <c r="AB36" s="181" t="e">
        <f t="shared" si="3"/>
        <v>#DIV/0!</v>
      </c>
    </row>
    <row r="37" spans="2:28" ht="33" customHeight="1">
      <c r="B37" s="326">
        <v>29</v>
      </c>
      <c r="C37" s="332"/>
      <c r="D37" s="314"/>
      <c r="E37" s="315"/>
      <c r="F37" s="315"/>
      <c r="G37" s="333"/>
      <c r="H37" s="329"/>
      <c r="I37" s="330"/>
      <c r="J37" s="318"/>
      <c r="K37" s="325">
        <v>4</v>
      </c>
      <c r="L37" s="333"/>
      <c r="M37" s="314"/>
      <c r="N37" s="322"/>
      <c r="O37" s="186">
        <v>1.1000000000000001</v>
      </c>
      <c r="P37" s="188">
        <v>700</v>
      </c>
      <c r="Q37" s="335"/>
      <c r="R37" s="158" t="e">
        <f t="shared" ref="R37:R100" si="9">ROUNDUP((T37/S37),0)</f>
        <v>#DIV/0!</v>
      </c>
      <c r="S37" s="159">
        <f t="shared" ref="S37:S100" si="10">I37</f>
        <v>0</v>
      </c>
      <c r="T37" s="173" t="e">
        <f t="shared" ref="T37:T100" si="11">ROUNDUP((V37+U37),0)</f>
        <v>#DIV/0!</v>
      </c>
      <c r="U37" s="174">
        <f>J37*'HR       '!$L$12</f>
        <v>0</v>
      </c>
      <c r="V37" s="175" t="e">
        <f>(Y37*('HR       '!$E$9/60))+(('HR       '!$E$7/60)*Z37)+(((P37-450)/1000)*'HR       '!$E$10*Z37)</f>
        <v>#DIV/0!</v>
      </c>
      <c r="W37" s="176"/>
      <c r="X37" s="160">
        <f t="shared" ref="X37:X100" si="12">J37</f>
        <v>0</v>
      </c>
      <c r="Y37" s="160">
        <f t="shared" ref="Y37:Y100" si="13">(G37*K37*I37)/60</f>
        <v>0</v>
      </c>
      <c r="Z37" s="179" t="e">
        <f>((H37+((('HR       '!$E$5*'HR       '!$E$6))*G37)+(F37*5))*I37)/L37</f>
        <v>#DIV/0!</v>
      </c>
      <c r="AA37" s="177" t="e">
        <f t="shared" si="4"/>
        <v>#DIV/0!</v>
      </c>
      <c r="AB37" s="181" t="e">
        <f t="shared" ref="AB37:AB100" si="14">ROUNDUP(((R37/H37)*1000),0)</f>
        <v>#DIV/0!</v>
      </c>
    </row>
    <row r="38" spans="2:28" ht="33" customHeight="1">
      <c r="B38" s="326">
        <v>30</v>
      </c>
      <c r="C38" s="332"/>
      <c r="D38" s="314"/>
      <c r="E38" s="315"/>
      <c r="F38" s="315"/>
      <c r="G38" s="333"/>
      <c r="H38" s="329"/>
      <c r="I38" s="330"/>
      <c r="J38" s="318"/>
      <c r="K38" s="325">
        <v>4</v>
      </c>
      <c r="L38" s="333"/>
      <c r="M38" s="314"/>
      <c r="N38" s="322"/>
      <c r="O38" s="186">
        <v>1.1000000000000001</v>
      </c>
      <c r="P38" s="188">
        <v>700</v>
      </c>
      <c r="Q38" s="335"/>
      <c r="R38" s="158" t="e">
        <f t="shared" si="9"/>
        <v>#DIV/0!</v>
      </c>
      <c r="S38" s="159">
        <f t="shared" si="10"/>
        <v>0</v>
      </c>
      <c r="T38" s="173" t="e">
        <f t="shared" si="11"/>
        <v>#DIV/0!</v>
      </c>
      <c r="U38" s="174">
        <f>J38*'HR       '!$L$12</f>
        <v>0</v>
      </c>
      <c r="V38" s="175" t="e">
        <f>(Y38*('HR       '!$E$9/60))+(('HR       '!$E$7/60)*Z38)+(((P38-450)/1000)*'HR       '!$E$10*Z38)</f>
        <v>#DIV/0!</v>
      </c>
      <c r="W38" s="176"/>
      <c r="X38" s="160">
        <f t="shared" si="12"/>
        <v>0</v>
      </c>
      <c r="Y38" s="160">
        <f t="shared" si="13"/>
        <v>0</v>
      </c>
      <c r="Z38" s="179" t="e">
        <f>((H38+((('HR       '!$E$5*'HR       '!$E$6))*G38)+(F38*5))*I38)/L38</f>
        <v>#DIV/0!</v>
      </c>
      <c r="AA38" s="177" t="e">
        <f t="shared" si="4"/>
        <v>#DIV/0!</v>
      </c>
      <c r="AB38" s="181" t="e">
        <f t="shared" si="14"/>
        <v>#DIV/0!</v>
      </c>
    </row>
    <row r="39" spans="2:28" ht="33" customHeight="1">
      <c r="B39" s="326">
        <v>31</v>
      </c>
      <c r="C39" s="332"/>
      <c r="D39" s="314"/>
      <c r="E39" s="315"/>
      <c r="F39" s="315"/>
      <c r="G39" s="333"/>
      <c r="H39" s="329"/>
      <c r="I39" s="330"/>
      <c r="J39" s="318"/>
      <c r="K39" s="325">
        <v>4</v>
      </c>
      <c r="L39" s="333"/>
      <c r="M39" s="314"/>
      <c r="N39" s="322"/>
      <c r="O39" s="186">
        <v>1.1000000000000001</v>
      </c>
      <c r="P39" s="188">
        <v>700</v>
      </c>
      <c r="Q39" s="335"/>
      <c r="R39" s="158" t="e">
        <f t="shared" si="9"/>
        <v>#DIV/0!</v>
      </c>
      <c r="S39" s="159">
        <f t="shared" si="10"/>
        <v>0</v>
      </c>
      <c r="T39" s="173" t="e">
        <f t="shared" si="11"/>
        <v>#DIV/0!</v>
      </c>
      <c r="U39" s="174">
        <f>J39*'HR       '!$L$12</f>
        <v>0</v>
      </c>
      <c r="V39" s="175" t="e">
        <f>(Y39*('HR       '!$E$9/60))+(('HR       '!$E$7/60)*Z39)+(((P39-450)/1000)*'HR       '!$E$10*Z39)</f>
        <v>#DIV/0!</v>
      </c>
      <c r="W39" s="176"/>
      <c r="X39" s="160">
        <f t="shared" si="12"/>
        <v>0</v>
      </c>
      <c r="Y39" s="160">
        <f t="shared" si="13"/>
        <v>0</v>
      </c>
      <c r="Z39" s="179" t="e">
        <f>((H39+((('HR       '!$E$5*'HR       '!$E$6))*G39)+(F39*5))*I39)/L39</f>
        <v>#DIV/0!</v>
      </c>
      <c r="AA39" s="177" t="e">
        <f t="shared" si="4"/>
        <v>#DIV/0!</v>
      </c>
      <c r="AB39" s="181" t="e">
        <f t="shared" si="14"/>
        <v>#DIV/0!</v>
      </c>
    </row>
    <row r="40" spans="2:28" ht="33" customHeight="1">
      <c r="B40" s="326">
        <v>32</v>
      </c>
      <c r="C40" s="332"/>
      <c r="D40" s="314"/>
      <c r="E40" s="315"/>
      <c r="F40" s="315"/>
      <c r="G40" s="333"/>
      <c r="H40" s="329"/>
      <c r="I40" s="330"/>
      <c r="J40" s="318"/>
      <c r="K40" s="325">
        <v>4</v>
      </c>
      <c r="L40" s="333"/>
      <c r="M40" s="314"/>
      <c r="N40" s="322"/>
      <c r="O40" s="186">
        <v>1.1000000000000001</v>
      </c>
      <c r="P40" s="188">
        <v>700</v>
      </c>
      <c r="Q40" s="335"/>
      <c r="R40" s="158" t="e">
        <f t="shared" si="9"/>
        <v>#DIV/0!</v>
      </c>
      <c r="S40" s="159">
        <f t="shared" si="10"/>
        <v>0</v>
      </c>
      <c r="T40" s="173" t="e">
        <f t="shared" si="11"/>
        <v>#DIV/0!</v>
      </c>
      <c r="U40" s="174">
        <f>J40*'HR       '!$L$12</f>
        <v>0</v>
      </c>
      <c r="V40" s="175" t="e">
        <f>(Y40*('HR       '!$E$9/60))+(('HR       '!$E$7/60)*Z40)+(((P40-450)/1000)*'HR       '!$E$10*Z40)</f>
        <v>#DIV/0!</v>
      </c>
      <c r="W40" s="176"/>
      <c r="X40" s="160">
        <f t="shared" si="12"/>
        <v>0</v>
      </c>
      <c r="Y40" s="160">
        <f t="shared" si="13"/>
        <v>0</v>
      </c>
      <c r="Z40" s="179" t="e">
        <f>((H40+((('HR       '!$E$5*'HR       '!$E$6))*G40)+(F40*5))*I40)/L40</f>
        <v>#DIV/0!</v>
      </c>
      <c r="AA40" s="177" t="e">
        <f t="shared" si="4"/>
        <v>#DIV/0!</v>
      </c>
      <c r="AB40" s="181" t="e">
        <f t="shared" si="14"/>
        <v>#DIV/0!</v>
      </c>
    </row>
    <row r="41" spans="2:28" ht="33" customHeight="1">
      <c r="B41" s="326">
        <v>33</v>
      </c>
      <c r="C41" s="332"/>
      <c r="D41" s="314"/>
      <c r="E41" s="315"/>
      <c r="F41" s="315"/>
      <c r="G41" s="333"/>
      <c r="H41" s="329"/>
      <c r="I41" s="330"/>
      <c r="J41" s="318"/>
      <c r="K41" s="325">
        <v>4</v>
      </c>
      <c r="L41" s="333"/>
      <c r="M41" s="314"/>
      <c r="N41" s="322"/>
      <c r="O41" s="186">
        <v>1.1000000000000001</v>
      </c>
      <c r="P41" s="188">
        <v>700</v>
      </c>
      <c r="Q41" s="335"/>
      <c r="R41" s="158" t="e">
        <f t="shared" si="9"/>
        <v>#DIV/0!</v>
      </c>
      <c r="S41" s="159">
        <f t="shared" si="10"/>
        <v>0</v>
      </c>
      <c r="T41" s="173" t="e">
        <f t="shared" si="11"/>
        <v>#DIV/0!</v>
      </c>
      <c r="U41" s="174">
        <f>J41*'HR       '!$L$12</f>
        <v>0</v>
      </c>
      <c r="V41" s="175" t="e">
        <f>(Y41*('HR       '!$E$9/60))+(('HR       '!$E$7/60)*Z41)+(((P41-450)/1000)*'HR       '!$E$10*Z41)</f>
        <v>#DIV/0!</v>
      </c>
      <c r="W41" s="176"/>
      <c r="X41" s="160">
        <f t="shared" si="12"/>
        <v>0</v>
      </c>
      <c r="Y41" s="160">
        <f t="shared" si="13"/>
        <v>0</v>
      </c>
      <c r="Z41" s="179" t="e">
        <f>((H41+((('HR       '!$E$5*'HR       '!$E$6))*G41)+(F41*5))*I41)/L41</f>
        <v>#DIV/0!</v>
      </c>
      <c r="AA41" s="177" t="e">
        <f t="shared" si="4"/>
        <v>#DIV/0!</v>
      </c>
      <c r="AB41" s="181" t="e">
        <f t="shared" si="14"/>
        <v>#DIV/0!</v>
      </c>
    </row>
    <row r="42" spans="2:28" ht="33" customHeight="1">
      <c r="B42" s="326">
        <v>34</v>
      </c>
      <c r="C42" s="332"/>
      <c r="D42" s="314"/>
      <c r="E42" s="315"/>
      <c r="F42" s="315"/>
      <c r="G42" s="333"/>
      <c r="H42" s="329"/>
      <c r="I42" s="330"/>
      <c r="J42" s="318"/>
      <c r="K42" s="325">
        <v>4</v>
      </c>
      <c r="L42" s="333"/>
      <c r="M42" s="314"/>
      <c r="N42" s="322"/>
      <c r="O42" s="186">
        <v>1.1000000000000001</v>
      </c>
      <c r="P42" s="188">
        <v>700</v>
      </c>
      <c r="Q42" s="335"/>
      <c r="R42" s="158" t="e">
        <f t="shared" si="9"/>
        <v>#DIV/0!</v>
      </c>
      <c r="S42" s="159">
        <f t="shared" si="10"/>
        <v>0</v>
      </c>
      <c r="T42" s="173" t="e">
        <f t="shared" si="11"/>
        <v>#DIV/0!</v>
      </c>
      <c r="U42" s="174">
        <f>J42*'HR       '!$L$12</f>
        <v>0</v>
      </c>
      <c r="V42" s="175" t="e">
        <f>(Y42*('HR       '!$E$9/60))+(('HR       '!$E$7/60)*Z42)+(((P42-450)/1000)*'HR       '!$E$10*Z42)</f>
        <v>#DIV/0!</v>
      </c>
      <c r="W42" s="176"/>
      <c r="X42" s="160">
        <f t="shared" si="12"/>
        <v>0</v>
      </c>
      <c r="Y42" s="160">
        <f t="shared" si="13"/>
        <v>0</v>
      </c>
      <c r="Z42" s="179" t="e">
        <f>((H42+((('HR       '!$E$5*'HR       '!$E$6))*G42)+(F42*5))*I42)/L42</f>
        <v>#DIV/0!</v>
      </c>
      <c r="AA42" s="177" t="e">
        <f t="shared" si="4"/>
        <v>#DIV/0!</v>
      </c>
      <c r="AB42" s="181" t="e">
        <f t="shared" si="14"/>
        <v>#DIV/0!</v>
      </c>
    </row>
    <row r="43" spans="2:28" ht="33" customHeight="1">
      <c r="B43" s="326">
        <v>35</v>
      </c>
      <c r="C43" s="332"/>
      <c r="D43" s="314"/>
      <c r="E43" s="315"/>
      <c r="F43" s="315"/>
      <c r="G43" s="333"/>
      <c r="H43" s="329"/>
      <c r="I43" s="330"/>
      <c r="J43" s="318"/>
      <c r="K43" s="325">
        <v>4</v>
      </c>
      <c r="L43" s="333"/>
      <c r="M43" s="314"/>
      <c r="N43" s="322"/>
      <c r="O43" s="186">
        <v>1.1000000000000001</v>
      </c>
      <c r="P43" s="188">
        <v>700</v>
      </c>
      <c r="Q43" s="335"/>
      <c r="R43" s="158" t="e">
        <f t="shared" si="9"/>
        <v>#DIV/0!</v>
      </c>
      <c r="S43" s="159">
        <f t="shared" si="10"/>
        <v>0</v>
      </c>
      <c r="T43" s="173" t="e">
        <f t="shared" si="11"/>
        <v>#DIV/0!</v>
      </c>
      <c r="U43" s="174">
        <f>J43*'HR       '!$L$12</f>
        <v>0</v>
      </c>
      <c r="V43" s="175" t="e">
        <f>(Y43*('HR       '!$E$9/60))+(('HR       '!$E$7/60)*Z43)+(((P43-450)/1000)*'HR       '!$E$10*Z43)</f>
        <v>#DIV/0!</v>
      </c>
      <c r="W43" s="176"/>
      <c r="X43" s="160">
        <f t="shared" si="12"/>
        <v>0</v>
      </c>
      <c r="Y43" s="160">
        <f t="shared" si="13"/>
        <v>0</v>
      </c>
      <c r="Z43" s="179" t="e">
        <f>((H43+((('HR       '!$E$5*'HR       '!$E$6))*G43)+(F43*5))*I43)/L43</f>
        <v>#DIV/0!</v>
      </c>
      <c r="AA43" s="177" t="e">
        <f t="shared" si="4"/>
        <v>#DIV/0!</v>
      </c>
      <c r="AB43" s="181" t="e">
        <f t="shared" si="14"/>
        <v>#DIV/0!</v>
      </c>
    </row>
    <row r="44" spans="2:28" ht="33" customHeight="1">
      <c r="B44" s="326">
        <v>36</v>
      </c>
      <c r="C44" s="332"/>
      <c r="D44" s="314"/>
      <c r="E44" s="315"/>
      <c r="F44" s="315"/>
      <c r="G44" s="333"/>
      <c r="H44" s="329"/>
      <c r="I44" s="330"/>
      <c r="J44" s="318"/>
      <c r="K44" s="325">
        <v>4</v>
      </c>
      <c r="L44" s="333"/>
      <c r="M44" s="314"/>
      <c r="N44" s="322"/>
      <c r="O44" s="186">
        <v>1.1000000000000001</v>
      </c>
      <c r="P44" s="188">
        <v>700</v>
      </c>
      <c r="Q44" s="335"/>
      <c r="R44" s="158" t="e">
        <f t="shared" si="9"/>
        <v>#DIV/0!</v>
      </c>
      <c r="S44" s="159">
        <f t="shared" si="10"/>
        <v>0</v>
      </c>
      <c r="T44" s="173" t="e">
        <f t="shared" si="11"/>
        <v>#DIV/0!</v>
      </c>
      <c r="U44" s="174">
        <f>J44*'HR       '!$L$12</f>
        <v>0</v>
      </c>
      <c r="V44" s="175" t="e">
        <f>(Y44*('HR       '!$E$9/60))+(('HR       '!$E$7/60)*Z44)+(((P44-450)/1000)*'HR       '!$E$10*Z44)</f>
        <v>#DIV/0!</v>
      </c>
      <c r="W44" s="176"/>
      <c r="X44" s="160">
        <f t="shared" si="12"/>
        <v>0</v>
      </c>
      <c r="Y44" s="160">
        <f t="shared" si="13"/>
        <v>0</v>
      </c>
      <c r="Z44" s="179" t="e">
        <f>((H44+((('HR       '!$E$5*'HR       '!$E$6))*G44)+(F44*5))*I44)/L44</f>
        <v>#DIV/0!</v>
      </c>
      <c r="AA44" s="177" t="e">
        <f t="shared" si="4"/>
        <v>#DIV/0!</v>
      </c>
      <c r="AB44" s="181" t="e">
        <f t="shared" si="14"/>
        <v>#DIV/0!</v>
      </c>
    </row>
    <row r="45" spans="2:28" ht="33" customHeight="1">
      <c r="B45" s="326">
        <v>37</v>
      </c>
      <c r="C45" s="332"/>
      <c r="D45" s="314"/>
      <c r="E45" s="315"/>
      <c r="F45" s="315"/>
      <c r="G45" s="333"/>
      <c r="H45" s="329"/>
      <c r="I45" s="330"/>
      <c r="J45" s="318"/>
      <c r="K45" s="325">
        <v>4</v>
      </c>
      <c r="L45" s="333"/>
      <c r="M45" s="314"/>
      <c r="N45" s="322"/>
      <c r="O45" s="186">
        <v>1.1000000000000001</v>
      </c>
      <c r="P45" s="188">
        <v>700</v>
      </c>
      <c r="Q45" s="335"/>
      <c r="R45" s="158" t="e">
        <f t="shared" si="9"/>
        <v>#DIV/0!</v>
      </c>
      <c r="S45" s="159">
        <f t="shared" si="10"/>
        <v>0</v>
      </c>
      <c r="T45" s="173" t="e">
        <f t="shared" si="11"/>
        <v>#DIV/0!</v>
      </c>
      <c r="U45" s="174">
        <f>J45*'HR       '!$L$12</f>
        <v>0</v>
      </c>
      <c r="V45" s="175" t="e">
        <f>(Y45*('HR       '!$E$9/60))+(('HR       '!$E$7/60)*Z45)+(((P45-450)/1000)*'HR       '!$E$10*Z45)</f>
        <v>#DIV/0!</v>
      </c>
      <c r="W45" s="176"/>
      <c r="X45" s="160">
        <f t="shared" si="12"/>
        <v>0</v>
      </c>
      <c r="Y45" s="160">
        <f t="shared" si="13"/>
        <v>0</v>
      </c>
      <c r="Z45" s="179" t="e">
        <f>((H45+((('HR       '!$E$5*'HR       '!$E$6))*G45)+(F45*5))*I45)/L45</f>
        <v>#DIV/0!</v>
      </c>
      <c r="AA45" s="177" t="e">
        <f t="shared" si="4"/>
        <v>#DIV/0!</v>
      </c>
      <c r="AB45" s="181" t="e">
        <f t="shared" si="14"/>
        <v>#DIV/0!</v>
      </c>
    </row>
    <row r="46" spans="2:28" ht="33" customHeight="1">
      <c r="B46" s="326">
        <v>38</v>
      </c>
      <c r="C46" s="332"/>
      <c r="D46" s="314"/>
      <c r="E46" s="315"/>
      <c r="F46" s="315"/>
      <c r="G46" s="333"/>
      <c r="H46" s="329"/>
      <c r="I46" s="330"/>
      <c r="J46" s="318"/>
      <c r="K46" s="325">
        <v>4</v>
      </c>
      <c r="L46" s="333"/>
      <c r="M46" s="314"/>
      <c r="N46" s="322"/>
      <c r="O46" s="186">
        <v>1.1000000000000001</v>
      </c>
      <c r="P46" s="188">
        <v>700</v>
      </c>
      <c r="Q46" s="335"/>
      <c r="R46" s="158" t="e">
        <f t="shared" si="9"/>
        <v>#DIV/0!</v>
      </c>
      <c r="S46" s="159">
        <f t="shared" si="10"/>
        <v>0</v>
      </c>
      <c r="T46" s="173" t="e">
        <f t="shared" si="11"/>
        <v>#DIV/0!</v>
      </c>
      <c r="U46" s="174">
        <f>J46*'HR       '!$L$12</f>
        <v>0</v>
      </c>
      <c r="V46" s="175" t="e">
        <f>(Y46*('HR       '!$E$9/60))+(('HR       '!$E$7/60)*Z46)+(((P46-450)/1000)*'HR       '!$E$10*Z46)</f>
        <v>#DIV/0!</v>
      </c>
      <c r="W46" s="176"/>
      <c r="X46" s="160">
        <f t="shared" si="12"/>
        <v>0</v>
      </c>
      <c r="Y46" s="160">
        <f t="shared" si="13"/>
        <v>0</v>
      </c>
      <c r="Z46" s="179" t="e">
        <f>((H46+((('HR       '!$E$5*'HR       '!$E$6))*G46)+(F46*5))*I46)/L46</f>
        <v>#DIV/0!</v>
      </c>
      <c r="AA46" s="177" t="e">
        <f t="shared" si="4"/>
        <v>#DIV/0!</v>
      </c>
      <c r="AB46" s="181" t="e">
        <f t="shared" si="14"/>
        <v>#DIV/0!</v>
      </c>
    </row>
    <row r="47" spans="2:28" ht="33" customHeight="1">
      <c r="B47" s="326">
        <v>39</v>
      </c>
      <c r="C47" s="332"/>
      <c r="D47" s="314"/>
      <c r="E47" s="315"/>
      <c r="F47" s="315"/>
      <c r="G47" s="333"/>
      <c r="H47" s="329"/>
      <c r="I47" s="330"/>
      <c r="J47" s="318"/>
      <c r="K47" s="325">
        <v>4</v>
      </c>
      <c r="L47" s="333"/>
      <c r="M47" s="314"/>
      <c r="N47" s="322"/>
      <c r="O47" s="186">
        <v>1.1000000000000001</v>
      </c>
      <c r="P47" s="188">
        <v>700</v>
      </c>
      <c r="Q47" s="335"/>
      <c r="R47" s="158" t="e">
        <f t="shared" si="9"/>
        <v>#DIV/0!</v>
      </c>
      <c r="S47" s="159">
        <f t="shared" si="10"/>
        <v>0</v>
      </c>
      <c r="T47" s="173" t="e">
        <f t="shared" si="11"/>
        <v>#DIV/0!</v>
      </c>
      <c r="U47" s="174">
        <f>J47*'HR       '!$L$12</f>
        <v>0</v>
      </c>
      <c r="V47" s="175" t="e">
        <f>(Y47*('HR       '!$E$9/60))+(('HR       '!$E$7/60)*Z47)+(((P47-450)/1000)*'HR       '!$E$10*Z47)</f>
        <v>#DIV/0!</v>
      </c>
      <c r="W47" s="176"/>
      <c r="X47" s="160">
        <f t="shared" si="12"/>
        <v>0</v>
      </c>
      <c r="Y47" s="160">
        <f t="shared" si="13"/>
        <v>0</v>
      </c>
      <c r="Z47" s="179" t="e">
        <f>((H47+((('HR       '!$E$5*'HR       '!$E$6))*G47)+(F47*5))*I47)/L47</f>
        <v>#DIV/0!</v>
      </c>
      <c r="AA47" s="177" t="e">
        <f t="shared" si="4"/>
        <v>#DIV/0!</v>
      </c>
      <c r="AB47" s="181" t="e">
        <f t="shared" si="14"/>
        <v>#DIV/0!</v>
      </c>
    </row>
    <row r="48" spans="2:28" ht="33" customHeight="1">
      <c r="B48" s="326">
        <v>40</v>
      </c>
      <c r="C48" s="332"/>
      <c r="D48" s="314"/>
      <c r="E48" s="315"/>
      <c r="F48" s="315"/>
      <c r="G48" s="333"/>
      <c r="H48" s="329"/>
      <c r="I48" s="330"/>
      <c r="J48" s="318"/>
      <c r="K48" s="325">
        <v>4</v>
      </c>
      <c r="L48" s="333"/>
      <c r="M48" s="314"/>
      <c r="N48" s="322"/>
      <c r="O48" s="186">
        <v>1.1000000000000001</v>
      </c>
      <c r="P48" s="188">
        <v>700</v>
      </c>
      <c r="Q48" s="335"/>
      <c r="R48" s="158" t="e">
        <f t="shared" si="9"/>
        <v>#DIV/0!</v>
      </c>
      <c r="S48" s="159">
        <f t="shared" si="10"/>
        <v>0</v>
      </c>
      <c r="T48" s="173" t="e">
        <f t="shared" si="11"/>
        <v>#DIV/0!</v>
      </c>
      <c r="U48" s="174">
        <f>J48*'HR       '!$L$12</f>
        <v>0</v>
      </c>
      <c r="V48" s="175" t="e">
        <f>(Y48*('HR       '!$E$9/60))+(('HR       '!$E$7/60)*Z48)+(((P48-450)/1000)*'HR       '!$E$10*Z48)</f>
        <v>#DIV/0!</v>
      </c>
      <c r="W48" s="176"/>
      <c r="X48" s="160">
        <f t="shared" si="12"/>
        <v>0</v>
      </c>
      <c r="Y48" s="160">
        <f t="shared" si="13"/>
        <v>0</v>
      </c>
      <c r="Z48" s="179" t="e">
        <f>((H48+((('HR       '!$E$5*'HR       '!$E$6))*G48)+(F48*5))*I48)/L48</f>
        <v>#DIV/0!</v>
      </c>
      <c r="AA48" s="177" t="e">
        <f t="shared" si="4"/>
        <v>#DIV/0!</v>
      </c>
      <c r="AB48" s="181" t="e">
        <f t="shared" si="14"/>
        <v>#DIV/0!</v>
      </c>
    </row>
    <row r="49" spans="2:28" ht="33" customHeight="1">
      <c r="B49" s="326">
        <v>41</v>
      </c>
      <c r="C49" s="332"/>
      <c r="D49" s="314"/>
      <c r="E49" s="315"/>
      <c r="F49" s="315"/>
      <c r="G49" s="333"/>
      <c r="H49" s="329"/>
      <c r="I49" s="330"/>
      <c r="J49" s="318"/>
      <c r="K49" s="325">
        <v>4</v>
      </c>
      <c r="L49" s="333"/>
      <c r="M49" s="314"/>
      <c r="N49" s="322"/>
      <c r="O49" s="186">
        <v>1.1000000000000001</v>
      </c>
      <c r="P49" s="188">
        <v>700</v>
      </c>
      <c r="Q49" s="335"/>
      <c r="R49" s="158" t="e">
        <f t="shared" si="9"/>
        <v>#DIV/0!</v>
      </c>
      <c r="S49" s="159">
        <f t="shared" si="10"/>
        <v>0</v>
      </c>
      <c r="T49" s="173" t="e">
        <f t="shared" si="11"/>
        <v>#DIV/0!</v>
      </c>
      <c r="U49" s="174">
        <f>J49*'HR       '!$L$12</f>
        <v>0</v>
      </c>
      <c r="V49" s="175" t="e">
        <f>(Y49*('HR       '!$E$9/60))+(('HR       '!$E$7/60)*Z49)+(((P49-450)/1000)*'HR       '!$E$10*Z49)</f>
        <v>#DIV/0!</v>
      </c>
      <c r="W49" s="176"/>
      <c r="X49" s="160">
        <f t="shared" si="12"/>
        <v>0</v>
      </c>
      <c r="Y49" s="160">
        <f t="shared" si="13"/>
        <v>0</v>
      </c>
      <c r="Z49" s="179" t="e">
        <f>((H49+((('HR       '!$E$5*'HR       '!$E$6))*G49)+(F49*5))*I49)/L49</f>
        <v>#DIV/0!</v>
      </c>
      <c r="AA49" s="177" t="e">
        <f t="shared" si="4"/>
        <v>#DIV/0!</v>
      </c>
      <c r="AB49" s="181" t="e">
        <f t="shared" si="14"/>
        <v>#DIV/0!</v>
      </c>
    </row>
    <row r="50" spans="2:28" ht="33" customHeight="1">
      <c r="B50" s="326">
        <v>42</v>
      </c>
      <c r="C50" s="332"/>
      <c r="D50" s="314"/>
      <c r="E50" s="315"/>
      <c r="F50" s="315"/>
      <c r="G50" s="333"/>
      <c r="H50" s="329"/>
      <c r="I50" s="330"/>
      <c r="J50" s="318"/>
      <c r="K50" s="325">
        <v>4</v>
      </c>
      <c r="L50" s="333"/>
      <c r="M50" s="314"/>
      <c r="N50" s="322"/>
      <c r="O50" s="186">
        <v>1.1000000000000001</v>
      </c>
      <c r="P50" s="188">
        <v>700</v>
      </c>
      <c r="Q50" s="335"/>
      <c r="R50" s="158" t="e">
        <f t="shared" si="9"/>
        <v>#DIV/0!</v>
      </c>
      <c r="S50" s="159">
        <f t="shared" si="10"/>
        <v>0</v>
      </c>
      <c r="T50" s="173" t="e">
        <f t="shared" si="11"/>
        <v>#DIV/0!</v>
      </c>
      <c r="U50" s="174">
        <f>J50*'HR       '!$L$12</f>
        <v>0</v>
      </c>
      <c r="V50" s="175" t="e">
        <f>(Y50*('HR       '!$E$9/60))+(('HR       '!$E$7/60)*Z50)+(((P50-450)/1000)*'HR       '!$E$10*Z50)</f>
        <v>#DIV/0!</v>
      </c>
      <c r="W50" s="176"/>
      <c r="X50" s="160">
        <f t="shared" si="12"/>
        <v>0</v>
      </c>
      <c r="Y50" s="160">
        <f t="shared" si="13"/>
        <v>0</v>
      </c>
      <c r="Z50" s="179" t="e">
        <f>((H50+((('HR       '!$E$5*'HR       '!$E$6))*G50)+(F50*5))*I50)/L50</f>
        <v>#DIV/0!</v>
      </c>
      <c r="AA50" s="177" t="e">
        <f t="shared" si="4"/>
        <v>#DIV/0!</v>
      </c>
      <c r="AB50" s="181" t="e">
        <f t="shared" si="14"/>
        <v>#DIV/0!</v>
      </c>
    </row>
    <row r="51" spans="2:28" ht="33" customHeight="1">
      <c r="B51" s="326">
        <v>43</v>
      </c>
      <c r="C51" s="332"/>
      <c r="D51" s="314"/>
      <c r="E51" s="315"/>
      <c r="F51" s="315"/>
      <c r="G51" s="333"/>
      <c r="H51" s="329"/>
      <c r="I51" s="330"/>
      <c r="J51" s="318"/>
      <c r="K51" s="325">
        <v>4</v>
      </c>
      <c r="L51" s="333"/>
      <c r="M51" s="314"/>
      <c r="N51" s="322"/>
      <c r="O51" s="186">
        <v>1.1000000000000001</v>
      </c>
      <c r="P51" s="188">
        <v>700</v>
      </c>
      <c r="Q51" s="335"/>
      <c r="R51" s="158" t="e">
        <f t="shared" si="9"/>
        <v>#DIV/0!</v>
      </c>
      <c r="S51" s="159">
        <f t="shared" si="10"/>
        <v>0</v>
      </c>
      <c r="T51" s="173" t="e">
        <f t="shared" si="11"/>
        <v>#DIV/0!</v>
      </c>
      <c r="U51" s="174">
        <f>J51*'HR       '!$L$12</f>
        <v>0</v>
      </c>
      <c r="V51" s="175" t="e">
        <f>(Y51*('HR       '!$E$9/60))+(('HR       '!$E$7/60)*Z51)+(((P51-450)/1000)*'HR       '!$E$10*Z51)</f>
        <v>#DIV/0!</v>
      </c>
      <c r="W51" s="176"/>
      <c r="X51" s="160">
        <f t="shared" si="12"/>
        <v>0</v>
      </c>
      <c r="Y51" s="160">
        <f t="shared" si="13"/>
        <v>0</v>
      </c>
      <c r="Z51" s="179" t="e">
        <f>((H51+((('HR       '!$E$5*'HR       '!$E$6))*G51)+(F51*5))*I51)/L51</f>
        <v>#DIV/0!</v>
      </c>
      <c r="AA51" s="177" t="e">
        <f t="shared" si="4"/>
        <v>#DIV/0!</v>
      </c>
      <c r="AB51" s="181" t="e">
        <f t="shared" si="14"/>
        <v>#DIV/0!</v>
      </c>
    </row>
    <row r="52" spans="2:28" ht="33" customHeight="1">
      <c r="B52" s="326">
        <v>44</v>
      </c>
      <c r="C52" s="332"/>
      <c r="D52" s="314"/>
      <c r="E52" s="315"/>
      <c r="F52" s="315"/>
      <c r="G52" s="333"/>
      <c r="H52" s="329"/>
      <c r="I52" s="330"/>
      <c r="J52" s="318"/>
      <c r="K52" s="325">
        <v>4</v>
      </c>
      <c r="L52" s="333"/>
      <c r="M52" s="314"/>
      <c r="N52" s="322"/>
      <c r="O52" s="186">
        <v>1.1000000000000001</v>
      </c>
      <c r="P52" s="188">
        <v>700</v>
      </c>
      <c r="Q52" s="335"/>
      <c r="R52" s="158" t="e">
        <f t="shared" si="9"/>
        <v>#DIV/0!</v>
      </c>
      <c r="S52" s="159">
        <f t="shared" si="10"/>
        <v>0</v>
      </c>
      <c r="T52" s="173" t="e">
        <f t="shared" si="11"/>
        <v>#DIV/0!</v>
      </c>
      <c r="U52" s="174">
        <f>J52*'HR       '!$L$12</f>
        <v>0</v>
      </c>
      <c r="V52" s="175" t="e">
        <f>(Y52*('HR       '!$E$9/60))+(('HR       '!$E$7/60)*Z52)+(((P52-450)/1000)*'HR       '!$E$10*Z52)</f>
        <v>#DIV/0!</v>
      </c>
      <c r="W52" s="176"/>
      <c r="X52" s="160">
        <f t="shared" si="12"/>
        <v>0</v>
      </c>
      <c r="Y52" s="160">
        <f t="shared" si="13"/>
        <v>0</v>
      </c>
      <c r="Z52" s="179" t="e">
        <f>((H52+((('HR       '!$E$5*'HR       '!$E$6))*G52)+(F52*5))*I52)/L52</f>
        <v>#DIV/0!</v>
      </c>
      <c r="AA52" s="177" t="e">
        <f t="shared" si="4"/>
        <v>#DIV/0!</v>
      </c>
      <c r="AB52" s="181" t="e">
        <f t="shared" si="14"/>
        <v>#DIV/0!</v>
      </c>
    </row>
    <row r="53" spans="2:28" ht="33" customHeight="1">
      <c r="B53" s="326">
        <v>45</v>
      </c>
      <c r="C53" s="332"/>
      <c r="D53" s="314"/>
      <c r="E53" s="315"/>
      <c r="F53" s="315"/>
      <c r="G53" s="333"/>
      <c r="H53" s="329"/>
      <c r="I53" s="330"/>
      <c r="J53" s="318"/>
      <c r="K53" s="325">
        <v>4</v>
      </c>
      <c r="L53" s="333"/>
      <c r="M53" s="314"/>
      <c r="N53" s="322"/>
      <c r="O53" s="186">
        <v>1.1000000000000001</v>
      </c>
      <c r="P53" s="188">
        <v>700</v>
      </c>
      <c r="Q53" s="335"/>
      <c r="R53" s="158" t="e">
        <f t="shared" si="9"/>
        <v>#DIV/0!</v>
      </c>
      <c r="S53" s="159">
        <f t="shared" si="10"/>
        <v>0</v>
      </c>
      <c r="T53" s="173" t="e">
        <f t="shared" si="11"/>
        <v>#DIV/0!</v>
      </c>
      <c r="U53" s="174">
        <f>J53*'HR       '!$L$12</f>
        <v>0</v>
      </c>
      <c r="V53" s="175" t="e">
        <f>(Y53*('HR       '!$E$9/60))+(('HR       '!$E$7/60)*Z53)+(((P53-450)/1000)*'HR       '!$E$10*Z53)</f>
        <v>#DIV/0!</v>
      </c>
      <c r="W53" s="176"/>
      <c r="X53" s="160">
        <f t="shared" si="12"/>
        <v>0</v>
      </c>
      <c r="Y53" s="160">
        <f t="shared" si="13"/>
        <v>0</v>
      </c>
      <c r="Z53" s="179" t="e">
        <f>((H53+((('HR       '!$E$5*'HR       '!$E$6))*G53)+(F53*5))*I53)/L53</f>
        <v>#DIV/0!</v>
      </c>
      <c r="AA53" s="177" t="e">
        <f t="shared" si="4"/>
        <v>#DIV/0!</v>
      </c>
      <c r="AB53" s="181" t="e">
        <f t="shared" si="14"/>
        <v>#DIV/0!</v>
      </c>
    </row>
    <row r="54" spans="2:28" ht="33" customHeight="1">
      <c r="B54" s="326">
        <v>46</v>
      </c>
      <c r="C54" s="332"/>
      <c r="D54" s="314"/>
      <c r="E54" s="315"/>
      <c r="F54" s="315"/>
      <c r="G54" s="333"/>
      <c r="H54" s="329"/>
      <c r="I54" s="330"/>
      <c r="J54" s="318"/>
      <c r="K54" s="325">
        <v>4</v>
      </c>
      <c r="L54" s="333"/>
      <c r="M54" s="314"/>
      <c r="N54" s="322"/>
      <c r="O54" s="186">
        <v>1.1000000000000001</v>
      </c>
      <c r="P54" s="188">
        <v>700</v>
      </c>
      <c r="Q54" s="335"/>
      <c r="R54" s="158" t="e">
        <f t="shared" si="9"/>
        <v>#DIV/0!</v>
      </c>
      <c r="S54" s="159">
        <f t="shared" si="10"/>
        <v>0</v>
      </c>
      <c r="T54" s="173" t="e">
        <f t="shared" si="11"/>
        <v>#DIV/0!</v>
      </c>
      <c r="U54" s="174">
        <f>J54*'HR       '!$L$12</f>
        <v>0</v>
      </c>
      <c r="V54" s="175" t="e">
        <f>(Y54*('HR       '!$E$9/60))+(('HR       '!$E$7/60)*Z54)+(((P54-450)/1000)*'HR       '!$E$10*Z54)</f>
        <v>#DIV/0!</v>
      </c>
      <c r="W54" s="176"/>
      <c r="X54" s="160">
        <f t="shared" si="12"/>
        <v>0</v>
      </c>
      <c r="Y54" s="160">
        <f t="shared" si="13"/>
        <v>0</v>
      </c>
      <c r="Z54" s="179" t="e">
        <f>((H54+((('HR       '!$E$5*'HR       '!$E$6))*G54)+(F54*5))*I54)/L54</f>
        <v>#DIV/0!</v>
      </c>
      <c r="AA54" s="177" t="e">
        <f t="shared" si="4"/>
        <v>#DIV/0!</v>
      </c>
      <c r="AB54" s="181" t="e">
        <f t="shared" si="14"/>
        <v>#DIV/0!</v>
      </c>
    </row>
    <row r="55" spans="2:28" ht="33" customHeight="1">
      <c r="B55" s="326">
        <v>47</v>
      </c>
      <c r="C55" s="332"/>
      <c r="D55" s="314"/>
      <c r="E55" s="315"/>
      <c r="F55" s="315"/>
      <c r="G55" s="333"/>
      <c r="H55" s="329"/>
      <c r="I55" s="330"/>
      <c r="J55" s="318"/>
      <c r="K55" s="325">
        <v>4</v>
      </c>
      <c r="L55" s="333"/>
      <c r="M55" s="314"/>
      <c r="N55" s="322"/>
      <c r="O55" s="186">
        <v>1.1000000000000001</v>
      </c>
      <c r="P55" s="188">
        <v>700</v>
      </c>
      <c r="Q55" s="335"/>
      <c r="R55" s="158" t="e">
        <f t="shared" si="9"/>
        <v>#DIV/0!</v>
      </c>
      <c r="S55" s="159">
        <f t="shared" si="10"/>
        <v>0</v>
      </c>
      <c r="T55" s="173" t="e">
        <f t="shared" si="11"/>
        <v>#DIV/0!</v>
      </c>
      <c r="U55" s="174">
        <f>J55*'HR       '!$L$12</f>
        <v>0</v>
      </c>
      <c r="V55" s="175" t="e">
        <f>(Y55*('HR       '!$E$9/60))+(('HR       '!$E$7/60)*Z55)+(((P55-450)/1000)*'HR       '!$E$10*Z55)</f>
        <v>#DIV/0!</v>
      </c>
      <c r="W55" s="176"/>
      <c r="X55" s="160">
        <f t="shared" si="12"/>
        <v>0</v>
      </c>
      <c r="Y55" s="160">
        <f t="shared" si="13"/>
        <v>0</v>
      </c>
      <c r="Z55" s="179" t="e">
        <f>((H55+((('HR       '!$E$5*'HR       '!$E$6))*G55)+(F55*5))*I55)/L55</f>
        <v>#DIV/0!</v>
      </c>
      <c r="AA55" s="177" t="e">
        <f t="shared" si="4"/>
        <v>#DIV/0!</v>
      </c>
      <c r="AB55" s="181" t="e">
        <f t="shared" si="14"/>
        <v>#DIV/0!</v>
      </c>
    </row>
    <row r="56" spans="2:28" ht="33" customHeight="1">
      <c r="B56" s="326">
        <v>48</v>
      </c>
      <c r="C56" s="332"/>
      <c r="D56" s="314"/>
      <c r="E56" s="315"/>
      <c r="F56" s="315"/>
      <c r="G56" s="333"/>
      <c r="H56" s="329"/>
      <c r="I56" s="330"/>
      <c r="J56" s="318"/>
      <c r="K56" s="325">
        <v>4</v>
      </c>
      <c r="L56" s="333"/>
      <c r="M56" s="314"/>
      <c r="N56" s="322"/>
      <c r="O56" s="186">
        <v>1.1000000000000001</v>
      </c>
      <c r="P56" s="188">
        <v>700</v>
      </c>
      <c r="Q56" s="335"/>
      <c r="R56" s="158" t="e">
        <f t="shared" si="9"/>
        <v>#DIV/0!</v>
      </c>
      <c r="S56" s="159">
        <f t="shared" si="10"/>
        <v>0</v>
      </c>
      <c r="T56" s="173" t="e">
        <f t="shared" si="11"/>
        <v>#DIV/0!</v>
      </c>
      <c r="U56" s="174">
        <f>J56*'HR       '!$L$12</f>
        <v>0</v>
      </c>
      <c r="V56" s="175" t="e">
        <f>(Y56*('HR       '!$E$9/60))+(('HR       '!$E$7/60)*Z56)+(((P56-450)/1000)*'HR       '!$E$10*Z56)</f>
        <v>#DIV/0!</v>
      </c>
      <c r="W56" s="176"/>
      <c r="X56" s="160">
        <f t="shared" si="12"/>
        <v>0</v>
      </c>
      <c r="Y56" s="160">
        <f t="shared" si="13"/>
        <v>0</v>
      </c>
      <c r="Z56" s="179" t="e">
        <f>((H56+((('HR       '!$E$5*'HR       '!$E$6))*G56)+(F56*5))*I56)/L56</f>
        <v>#DIV/0!</v>
      </c>
      <c r="AA56" s="177" t="e">
        <f t="shared" si="4"/>
        <v>#DIV/0!</v>
      </c>
      <c r="AB56" s="181" t="e">
        <f t="shared" si="14"/>
        <v>#DIV/0!</v>
      </c>
    </row>
    <row r="57" spans="2:28" ht="33" customHeight="1">
      <c r="B57" s="326">
        <v>49</v>
      </c>
      <c r="C57" s="332"/>
      <c r="D57" s="314"/>
      <c r="E57" s="315"/>
      <c r="F57" s="315"/>
      <c r="G57" s="333"/>
      <c r="H57" s="329"/>
      <c r="I57" s="330"/>
      <c r="J57" s="318"/>
      <c r="K57" s="325">
        <v>4</v>
      </c>
      <c r="L57" s="333"/>
      <c r="M57" s="314"/>
      <c r="N57" s="322"/>
      <c r="O57" s="186">
        <v>1.1000000000000001</v>
      </c>
      <c r="P57" s="188">
        <v>700</v>
      </c>
      <c r="Q57" s="335"/>
      <c r="R57" s="158" t="e">
        <f t="shared" si="9"/>
        <v>#DIV/0!</v>
      </c>
      <c r="S57" s="159">
        <f t="shared" si="10"/>
        <v>0</v>
      </c>
      <c r="T57" s="173" t="e">
        <f t="shared" si="11"/>
        <v>#DIV/0!</v>
      </c>
      <c r="U57" s="174">
        <f>J57*'HR       '!$L$12</f>
        <v>0</v>
      </c>
      <c r="V57" s="175" t="e">
        <f>(Y57*('HR       '!$E$9/60))+(('HR       '!$E$7/60)*Z57)+(((P57-450)/1000)*'HR       '!$E$10*Z57)</f>
        <v>#DIV/0!</v>
      </c>
      <c r="W57" s="176"/>
      <c r="X57" s="160">
        <f t="shared" si="12"/>
        <v>0</v>
      </c>
      <c r="Y57" s="160">
        <f t="shared" si="13"/>
        <v>0</v>
      </c>
      <c r="Z57" s="179" t="e">
        <f>((H57+((('HR       '!$E$5*'HR       '!$E$6))*G57)+(F57*5))*I57)/L57</f>
        <v>#DIV/0!</v>
      </c>
      <c r="AA57" s="177" t="e">
        <f t="shared" si="4"/>
        <v>#DIV/0!</v>
      </c>
      <c r="AB57" s="181" t="e">
        <f t="shared" si="14"/>
        <v>#DIV/0!</v>
      </c>
    </row>
    <row r="58" spans="2:28" ht="33" customHeight="1">
      <c r="B58" s="326">
        <v>50</v>
      </c>
      <c r="C58" s="332"/>
      <c r="D58" s="314"/>
      <c r="E58" s="315"/>
      <c r="F58" s="315"/>
      <c r="G58" s="333"/>
      <c r="H58" s="329"/>
      <c r="I58" s="330"/>
      <c r="J58" s="318"/>
      <c r="K58" s="325">
        <v>4</v>
      </c>
      <c r="L58" s="333"/>
      <c r="M58" s="314"/>
      <c r="N58" s="322"/>
      <c r="O58" s="186">
        <v>1.1000000000000001</v>
      </c>
      <c r="P58" s="188">
        <v>700</v>
      </c>
      <c r="Q58" s="335"/>
      <c r="R58" s="158" t="e">
        <f t="shared" si="9"/>
        <v>#DIV/0!</v>
      </c>
      <c r="S58" s="159">
        <f t="shared" si="10"/>
        <v>0</v>
      </c>
      <c r="T58" s="173" t="e">
        <f t="shared" si="11"/>
        <v>#DIV/0!</v>
      </c>
      <c r="U58" s="174">
        <f>J58*'HR       '!$L$12</f>
        <v>0</v>
      </c>
      <c r="V58" s="175" t="e">
        <f>(Y58*('HR       '!$E$9/60))+(('HR       '!$E$7/60)*Z58)+(((P58-450)/1000)*'HR       '!$E$10*Z58)</f>
        <v>#DIV/0!</v>
      </c>
      <c r="W58" s="176"/>
      <c r="X58" s="160">
        <f t="shared" si="12"/>
        <v>0</v>
      </c>
      <c r="Y58" s="160">
        <f t="shared" si="13"/>
        <v>0</v>
      </c>
      <c r="Z58" s="179" t="e">
        <f>((H58+((('HR       '!$E$5*'HR       '!$E$6))*G58)+(F58*5))*I58)/L58</f>
        <v>#DIV/0!</v>
      </c>
      <c r="AA58" s="177" t="e">
        <f t="shared" si="4"/>
        <v>#DIV/0!</v>
      </c>
      <c r="AB58" s="181" t="e">
        <f t="shared" si="14"/>
        <v>#DIV/0!</v>
      </c>
    </row>
    <row r="59" spans="2:28" ht="33" customHeight="1">
      <c r="B59" s="326">
        <v>51</v>
      </c>
      <c r="C59" s="332"/>
      <c r="D59" s="314"/>
      <c r="E59" s="315"/>
      <c r="F59" s="315"/>
      <c r="G59" s="333"/>
      <c r="H59" s="329"/>
      <c r="I59" s="330"/>
      <c r="J59" s="318"/>
      <c r="K59" s="325">
        <v>4</v>
      </c>
      <c r="L59" s="333"/>
      <c r="M59" s="314"/>
      <c r="N59" s="322"/>
      <c r="O59" s="186">
        <v>1.1000000000000001</v>
      </c>
      <c r="P59" s="188">
        <v>700</v>
      </c>
      <c r="Q59" s="335"/>
      <c r="R59" s="158" t="e">
        <f t="shared" si="9"/>
        <v>#DIV/0!</v>
      </c>
      <c r="S59" s="159">
        <f t="shared" si="10"/>
        <v>0</v>
      </c>
      <c r="T59" s="173" t="e">
        <f t="shared" si="11"/>
        <v>#DIV/0!</v>
      </c>
      <c r="U59" s="174">
        <f>J59*'HR       '!$L$12</f>
        <v>0</v>
      </c>
      <c r="V59" s="175" t="e">
        <f>(Y59*('HR       '!$E$9/60))+(('HR       '!$E$7/60)*Z59)+(((P59-450)/1000)*'HR       '!$E$10*Z59)</f>
        <v>#DIV/0!</v>
      </c>
      <c r="W59" s="176"/>
      <c r="X59" s="160">
        <f t="shared" si="12"/>
        <v>0</v>
      </c>
      <c r="Y59" s="160">
        <f t="shared" si="13"/>
        <v>0</v>
      </c>
      <c r="Z59" s="179" t="e">
        <f>((H59+((('HR       '!$E$5*'HR       '!$E$6))*G59)+(F59*5))*I59)/L59</f>
        <v>#DIV/0!</v>
      </c>
      <c r="AA59" s="177" t="e">
        <f t="shared" si="4"/>
        <v>#DIV/0!</v>
      </c>
      <c r="AB59" s="181" t="e">
        <f t="shared" si="14"/>
        <v>#DIV/0!</v>
      </c>
    </row>
    <row r="60" spans="2:28" ht="33" customHeight="1">
      <c r="B60" s="326">
        <v>52</v>
      </c>
      <c r="C60" s="332"/>
      <c r="D60" s="314"/>
      <c r="E60" s="315"/>
      <c r="F60" s="315"/>
      <c r="G60" s="333"/>
      <c r="H60" s="329"/>
      <c r="I60" s="330"/>
      <c r="J60" s="318"/>
      <c r="K60" s="325">
        <v>4</v>
      </c>
      <c r="L60" s="333"/>
      <c r="M60" s="314"/>
      <c r="N60" s="322"/>
      <c r="O60" s="186">
        <v>1.1000000000000001</v>
      </c>
      <c r="P60" s="188">
        <v>700</v>
      </c>
      <c r="Q60" s="335"/>
      <c r="R60" s="158" t="e">
        <f t="shared" si="9"/>
        <v>#DIV/0!</v>
      </c>
      <c r="S60" s="159">
        <f t="shared" si="10"/>
        <v>0</v>
      </c>
      <c r="T60" s="173" t="e">
        <f t="shared" si="11"/>
        <v>#DIV/0!</v>
      </c>
      <c r="U60" s="174">
        <f>J60*'HR       '!$L$12</f>
        <v>0</v>
      </c>
      <c r="V60" s="175" t="e">
        <f>(Y60*('HR       '!$E$9/60))+(('HR       '!$E$7/60)*Z60)+(((P60-450)/1000)*'HR       '!$E$10*Z60)</f>
        <v>#DIV/0!</v>
      </c>
      <c r="W60" s="176"/>
      <c r="X60" s="160">
        <f t="shared" si="12"/>
        <v>0</v>
      </c>
      <c r="Y60" s="160">
        <f t="shared" si="13"/>
        <v>0</v>
      </c>
      <c r="Z60" s="179" t="e">
        <f>((H60+((('HR       '!$E$5*'HR       '!$E$6))*G60)+(F60*5))*I60)/L60</f>
        <v>#DIV/0!</v>
      </c>
      <c r="AA60" s="177" t="e">
        <f t="shared" si="4"/>
        <v>#DIV/0!</v>
      </c>
      <c r="AB60" s="181" t="e">
        <f t="shared" si="14"/>
        <v>#DIV/0!</v>
      </c>
    </row>
    <row r="61" spans="2:28" ht="33" customHeight="1">
      <c r="B61" s="326">
        <v>53</v>
      </c>
      <c r="C61" s="332"/>
      <c r="D61" s="314"/>
      <c r="E61" s="315"/>
      <c r="F61" s="315"/>
      <c r="G61" s="333"/>
      <c r="H61" s="329"/>
      <c r="I61" s="330"/>
      <c r="J61" s="318"/>
      <c r="K61" s="325">
        <v>4</v>
      </c>
      <c r="L61" s="333"/>
      <c r="M61" s="314"/>
      <c r="N61" s="322"/>
      <c r="O61" s="186">
        <v>1.1000000000000001</v>
      </c>
      <c r="P61" s="188">
        <v>700</v>
      </c>
      <c r="Q61" s="335"/>
      <c r="R61" s="158" t="e">
        <f t="shared" si="9"/>
        <v>#DIV/0!</v>
      </c>
      <c r="S61" s="159">
        <f t="shared" si="10"/>
        <v>0</v>
      </c>
      <c r="T61" s="173" t="e">
        <f t="shared" si="11"/>
        <v>#DIV/0!</v>
      </c>
      <c r="U61" s="174">
        <f>J61*'HR       '!$L$12</f>
        <v>0</v>
      </c>
      <c r="V61" s="175" t="e">
        <f>(Y61*('HR       '!$E$9/60))+(('HR       '!$E$7/60)*Z61)+(((P61-450)/1000)*'HR       '!$E$10*Z61)</f>
        <v>#DIV/0!</v>
      </c>
      <c r="W61" s="176"/>
      <c r="X61" s="160">
        <f t="shared" si="12"/>
        <v>0</v>
      </c>
      <c r="Y61" s="160">
        <f t="shared" si="13"/>
        <v>0</v>
      </c>
      <c r="Z61" s="179" t="e">
        <f>((H61+((('HR       '!$E$5*'HR       '!$E$6))*G61)+(F61*5))*I61)/L61</f>
        <v>#DIV/0!</v>
      </c>
      <c r="AA61" s="177" t="e">
        <f t="shared" si="4"/>
        <v>#DIV/0!</v>
      </c>
      <c r="AB61" s="181" t="e">
        <f t="shared" si="14"/>
        <v>#DIV/0!</v>
      </c>
    </row>
    <row r="62" spans="2:28" ht="33" customHeight="1">
      <c r="B62" s="326">
        <v>54</v>
      </c>
      <c r="C62" s="332"/>
      <c r="D62" s="314"/>
      <c r="E62" s="315"/>
      <c r="F62" s="315"/>
      <c r="G62" s="333"/>
      <c r="H62" s="329"/>
      <c r="I62" s="330"/>
      <c r="J62" s="318"/>
      <c r="K62" s="325">
        <v>4</v>
      </c>
      <c r="L62" s="333"/>
      <c r="M62" s="314"/>
      <c r="N62" s="322"/>
      <c r="O62" s="186">
        <v>1.1000000000000001</v>
      </c>
      <c r="P62" s="188">
        <v>700</v>
      </c>
      <c r="Q62" s="335"/>
      <c r="R62" s="158" t="e">
        <f t="shared" si="9"/>
        <v>#DIV/0!</v>
      </c>
      <c r="S62" s="159">
        <f t="shared" si="10"/>
        <v>0</v>
      </c>
      <c r="T62" s="173" t="e">
        <f t="shared" si="11"/>
        <v>#DIV/0!</v>
      </c>
      <c r="U62" s="174">
        <f>J62*'HR       '!$L$12</f>
        <v>0</v>
      </c>
      <c r="V62" s="175" t="e">
        <f>(Y62*('HR       '!$E$9/60))+(('HR       '!$E$7/60)*Z62)+(((P62-450)/1000)*'HR       '!$E$10*Z62)</f>
        <v>#DIV/0!</v>
      </c>
      <c r="W62" s="176"/>
      <c r="X62" s="160">
        <f t="shared" si="12"/>
        <v>0</v>
      </c>
      <c r="Y62" s="160">
        <f t="shared" si="13"/>
        <v>0</v>
      </c>
      <c r="Z62" s="179" t="e">
        <f>((H62+((('HR       '!$E$5*'HR       '!$E$6))*G62)+(F62*5))*I62)/L62</f>
        <v>#DIV/0!</v>
      </c>
      <c r="AA62" s="177" t="e">
        <f t="shared" si="4"/>
        <v>#DIV/0!</v>
      </c>
      <c r="AB62" s="181" t="e">
        <f t="shared" si="14"/>
        <v>#DIV/0!</v>
      </c>
    </row>
    <row r="63" spans="2:28" ht="33" customHeight="1">
      <c r="B63" s="326">
        <v>55</v>
      </c>
      <c r="C63" s="332"/>
      <c r="D63" s="314"/>
      <c r="E63" s="315"/>
      <c r="F63" s="315"/>
      <c r="G63" s="333"/>
      <c r="H63" s="329"/>
      <c r="I63" s="330"/>
      <c r="J63" s="318"/>
      <c r="K63" s="325">
        <v>4</v>
      </c>
      <c r="L63" s="333"/>
      <c r="M63" s="314"/>
      <c r="N63" s="322"/>
      <c r="O63" s="186">
        <v>1.1000000000000001</v>
      </c>
      <c r="P63" s="188">
        <v>700</v>
      </c>
      <c r="Q63" s="335"/>
      <c r="R63" s="158" t="e">
        <f t="shared" si="9"/>
        <v>#DIV/0!</v>
      </c>
      <c r="S63" s="159">
        <f t="shared" si="10"/>
        <v>0</v>
      </c>
      <c r="T63" s="173" t="e">
        <f t="shared" si="11"/>
        <v>#DIV/0!</v>
      </c>
      <c r="U63" s="174">
        <f>J63*'HR       '!$L$12</f>
        <v>0</v>
      </c>
      <c r="V63" s="175" t="e">
        <f>(Y63*('HR       '!$E$9/60))+(('HR       '!$E$7/60)*Z63)+(((P63-450)/1000)*'HR       '!$E$10*Z63)</f>
        <v>#DIV/0!</v>
      </c>
      <c r="W63" s="176"/>
      <c r="X63" s="160">
        <f t="shared" si="12"/>
        <v>0</v>
      </c>
      <c r="Y63" s="160">
        <f t="shared" si="13"/>
        <v>0</v>
      </c>
      <c r="Z63" s="179" t="e">
        <f>((H63+((('HR       '!$E$5*'HR       '!$E$6))*G63)+(F63*5))*I63)/L63</f>
        <v>#DIV/0!</v>
      </c>
      <c r="AA63" s="177" t="e">
        <f t="shared" si="4"/>
        <v>#DIV/0!</v>
      </c>
      <c r="AB63" s="181" t="e">
        <f t="shared" si="14"/>
        <v>#DIV/0!</v>
      </c>
    </row>
    <row r="64" spans="2:28" ht="33" customHeight="1">
      <c r="B64" s="326">
        <v>56</v>
      </c>
      <c r="C64" s="332"/>
      <c r="D64" s="314"/>
      <c r="E64" s="315"/>
      <c r="F64" s="315"/>
      <c r="G64" s="333"/>
      <c r="H64" s="329"/>
      <c r="I64" s="330"/>
      <c r="J64" s="318"/>
      <c r="K64" s="325">
        <v>4</v>
      </c>
      <c r="L64" s="333"/>
      <c r="M64" s="314"/>
      <c r="N64" s="322"/>
      <c r="O64" s="186">
        <v>1.1000000000000001</v>
      </c>
      <c r="P64" s="188">
        <v>700</v>
      </c>
      <c r="Q64" s="335"/>
      <c r="R64" s="158" t="e">
        <f t="shared" si="9"/>
        <v>#DIV/0!</v>
      </c>
      <c r="S64" s="159">
        <f t="shared" si="10"/>
        <v>0</v>
      </c>
      <c r="T64" s="173" t="e">
        <f t="shared" si="11"/>
        <v>#DIV/0!</v>
      </c>
      <c r="U64" s="174">
        <f>J64*'HR       '!$L$12</f>
        <v>0</v>
      </c>
      <c r="V64" s="175" t="e">
        <f>(Y64*('HR       '!$E$9/60))+(('HR       '!$E$7/60)*Z64)+(((P64-450)/1000)*'HR       '!$E$10*Z64)</f>
        <v>#DIV/0!</v>
      </c>
      <c r="W64" s="176"/>
      <c r="X64" s="160">
        <f t="shared" si="12"/>
        <v>0</v>
      </c>
      <c r="Y64" s="160">
        <f t="shared" si="13"/>
        <v>0</v>
      </c>
      <c r="Z64" s="179" t="e">
        <f>((H64+((('HR       '!$E$5*'HR       '!$E$6))*G64)+(F64*5))*I64)/L64</f>
        <v>#DIV/0!</v>
      </c>
      <c r="AA64" s="177" t="e">
        <f t="shared" si="4"/>
        <v>#DIV/0!</v>
      </c>
      <c r="AB64" s="181" t="e">
        <f t="shared" si="14"/>
        <v>#DIV/0!</v>
      </c>
    </row>
    <row r="65" spans="2:28" ht="33" customHeight="1">
      <c r="B65" s="326">
        <v>57</v>
      </c>
      <c r="C65" s="332"/>
      <c r="D65" s="314"/>
      <c r="E65" s="315"/>
      <c r="F65" s="315"/>
      <c r="G65" s="333"/>
      <c r="H65" s="329"/>
      <c r="I65" s="330"/>
      <c r="J65" s="318"/>
      <c r="K65" s="325">
        <v>4</v>
      </c>
      <c r="L65" s="333"/>
      <c r="M65" s="314"/>
      <c r="N65" s="322"/>
      <c r="O65" s="186">
        <v>1.1000000000000001</v>
      </c>
      <c r="P65" s="188">
        <v>700</v>
      </c>
      <c r="Q65" s="335"/>
      <c r="R65" s="158" t="e">
        <f t="shared" si="9"/>
        <v>#DIV/0!</v>
      </c>
      <c r="S65" s="159">
        <f t="shared" si="10"/>
        <v>0</v>
      </c>
      <c r="T65" s="173" t="e">
        <f t="shared" si="11"/>
        <v>#DIV/0!</v>
      </c>
      <c r="U65" s="174">
        <f>J65*'HR       '!$L$12</f>
        <v>0</v>
      </c>
      <c r="V65" s="175" t="e">
        <f>(Y65*('HR       '!$E$9/60))+(('HR       '!$E$7/60)*Z65)+(((P65-450)/1000)*'HR       '!$E$10*Z65)</f>
        <v>#DIV/0!</v>
      </c>
      <c r="W65" s="176"/>
      <c r="X65" s="160">
        <f t="shared" si="12"/>
        <v>0</v>
      </c>
      <c r="Y65" s="160">
        <f t="shared" si="13"/>
        <v>0</v>
      </c>
      <c r="Z65" s="179" t="e">
        <f>((H65+((('HR       '!$E$5*'HR       '!$E$6))*G65)+(F65*5))*I65)/L65</f>
        <v>#DIV/0!</v>
      </c>
      <c r="AA65" s="177" t="e">
        <f t="shared" si="4"/>
        <v>#DIV/0!</v>
      </c>
      <c r="AB65" s="181" t="e">
        <f t="shared" si="14"/>
        <v>#DIV/0!</v>
      </c>
    </row>
    <row r="66" spans="2:28" ht="33" customHeight="1">
      <c r="B66" s="326">
        <v>58</v>
      </c>
      <c r="C66" s="332"/>
      <c r="D66" s="314"/>
      <c r="E66" s="315"/>
      <c r="F66" s="315"/>
      <c r="G66" s="333"/>
      <c r="H66" s="329"/>
      <c r="I66" s="330"/>
      <c r="J66" s="318"/>
      <c r="K66" s="325">
        <v>4</v>
      </c>
      <c r="L66" s="333"/>
      <c r="M66" s="314"/>
      <c r="N66" s="322"/>
      <c r="O66" s="186">
        <v>1.1000000000000001</v>
      </c>
      <c r="P66" s="188">
        <v>700</v>
      </c>
      <c r="Q66" s="335"/>
      <c r="R66" s="158" t="e">
        <f t="shared" si="9"/>
        <v>#DIV/0!</v>
      </c>
      <c r="S66" s="159">
        <f t="shared" si="10"/>
        <v>0</v>
      </c>
      <c r="T66" s="173" t="e">
        <f t="shared" si="11"/>
        <v>#DIV/0!</v>
      </c>
      <c r="U66" s="174">
        <f>J66*'HR       '!$L$12</f>
        <v>0</v>
      </c>
      <c r="V66" s="175" t="e">
        <f>(Y66*('HR       '!$E$9/60))+(('HR       '!$E$7/60)*Z66)+(((P66-450)/1000)*'HR       '!$E$10*Z66)</f>
        <v>#DIV/0!</v>
      </c>
      <c r="W66" s="176"/>
      <c r="X66" s="160">
        <f t="shared" si="12"/>
        <v>0</v>
      </c>
      <c r="Y66" s="160">
        <f t="shared" si="13"/>
        <v>0</v>
      </c>
      <c r="Z66" s="179" t="e">
        <f>((H66+((('HR       '!$E$5*'HR       '!$E$6))*G66)+(F66*5))*I66)/L66</f>
        <v>#DIV/0!</v>
      </c>
      <c r="AA66" s="177" t="e">
        <f t="shared" si="4"/>
        <v>#DIV/0!</v>
      </c>
      <c r="AB66" s="181" t="e">
        <f t="shared" si="14"/>
        <v>#DIV/0!</v>
      </c>
    </row>
    <row r="67" spans="2:28" ht="33" customHeight="1">
      <c r="B67" s="326">
        <v>59</v>
      </c>
      <c r="C67" s="332"/>
      <c r="D67" s="314"/>
      <c r="E67" s="315"/>
      <c r="F67" s="315"/>
      <c r="G67" s="333"/>
      <c r="H67" s="329"/>
      <c r="I67" s="330"/>
      <c r="J67" s="318"/>
      <c r="K67" s="325">
        <v>4</v>
      </c>
      <c r="L67" s="333"/>
      <c r="M67" s="314"/>
      <c r="N67" s="322"/>
      <c r="O67" s="186">
        <v>1.1000000000000001</v>
      </c>
      <c r="P67" s="188">
        <v>700</v>
      </c>
      <c r="Q67" s="335"/>
      <c r="R67" s="158" t="e">
        <f t="shared" si="9"/>
        <v>#DIV/0!</v>
      </c>
      <c r="S67" s="159">
        <f t="shared" si="10"/>
        <v>0</v>
      </c>
      <c r="T67" s="173" t="e">
        <f t="shared" si="11"/>
        <v>#DIV/0!</v>
      </c>
      <c r="U67" s="174">
        <f>J67*'HR       '!$L$12</f>
        <v>0</v>
      </c>
      <c r="V67" s="175" t="e">
        <f>(Y67*('HR       '!$E$9/60))+(('HR       '!$E$7/60)*Z67)+(((P67-450)/1000)*'HR       '!$E$10*Z67)</f>
        <v>#DIV/0!</v>
      </c>
      <c r="W67" s="176"/>
      <c r="X67" s="160">
        <f t="shared" si="12"/>
        <v>0</v>
      </c>
      <c r="Y67" s="160">
        <f t="shared" si="13"/>
        <v>0</v>
      </c>
      <c r="Z67" s="179" t="e">
        <f>((H67+((('HR       '!$E$5*'HR       '!$E$6))*G67)+(F67*5))*I67)/L67</f>
        <v>#DIV/0!</v>
      </c>
      <c r="AA67" s="177" t="e">
        <f t="shared" si="4"/>
        <v>#DIV/0!</v>
      </c>
      <c r="AB67" s="181" t="e">
        <f t="shared" si="14"/>
        <v>#DIV/0!</v>
      </c>
    </row>
    <row r="68" spans="2:28" ht="33" customHeight="1">
      <c r="B68" s="326">
        <v>60</v>
      </c>
      <c r="C68" s="332"/>
      <c r="D68" s="314"/>
      <c r="E68" s="315"/>
      <c r="F68" s="315"/>
      <c r="G68" s="333"/>
      <c r="H68" s="329"/>
      <c r="I68" s="330"/>
      <c r="J68" s="318"/>
      <c r="K68" s="325">
        <v>4</v>
      </c>
      <c r="L68" s="333"/>
      <c r="M68" s="314"/>
      <c r="N68" s="322"/>
      <c r="O68" s="186">
        <v>1.1000000000000001</v>
      </c>
      <c r="P68" s="188">
        <v>700</v>
      </c>
      <c r="Q68" s="335"/>
      <c r="R68" s="158" t="e">
        <f t="shared" si="9"/>
        <v>#DIV/0!</v>
      </c>
      <c r="S68" s="159">
        <f t="shared" si="10"/>
        <v>0</v>
      </c>
      <c r="T68" s="173" t="e">
        <f t="shared" si="11"/>
        <v>#DIV/0!</v>
      </c>
      <c r="U68" s="174">
        <f>J68*'HR       '!$L$12</f>
        <v>0</v>
      </c>
      <c r="V68" s="175" t="e">
        <f>(Y68*('HR       '!$E$9/60))+(('HR       '!$E$7/60)*Z68)+(((P68-450)/1000)*'HR       '!$E$10*Z68)</f>
        <v>#DIV/0!</v>
      </c>
      <c r="W68" s="176"/>
      <c r="X68" s="160">
        <f t="shared" si="12"/>
        <v>0</v>
      </c>
      <c r="Y68" s="160">
        <f t="shared" si="13"/>
        <v>0</v>
      </c>
      <c r="Z68" s="179" t="e">
        <f>((H68+((('HR       '!$E$5*'HR       '!$E$6))*G68)+(F68*5))*I68)/L68</f>
        <v>#DIV/0!</v>
      </c>
      <c r="AA68" s="177" t="e">
        <f t="shared" si="4"/>
        <v>#DIV/0!</v>
      </c>
      <c r="AB68" s="181" t="e">
        <f t="shared" si="14"/>
        <v>#DIV/0!</v>
      </c>
    </row>
    <row r="69" spans="2:28" ht="33" customHeight="1">
      <c r="B69" s="326">
        <v>61</v>
      </c>
      <c r="C69" s="332"/>
      <c r="D69" s="314"/>
      <c r="E69" s="315"/>
      <c r="F69" s="315"/>
      <c r="G69" s="333"/>
      <c r="H69" s="329"/>
      <c r="I69" s="330"/>
      <c r="J69" s="318"/>
      <c r="K69" s="325">
        <v>4</v>
      </c>
      <c r="L69" s="333"/>
      <c r="M69" s="314"/>
      <c r="N69" s="322"/>
      <c r="O69" s="186">
        <v>1.1000000000000001</v>
      </c>
      <c r="P69" s="188">
        <v>700</v>
      </c>
      <c r="Q69" s="335"/>
      <c r="R69" s="158" t="e">
        <f t="shared" si="9"/>
        <v>#DIV/0!</v>
      </c>
      <c r="S69" s="159">
        <f t="shared" si="10"/>
        <v>0</v>
      </c>
      <c r="T69" s="173" t="e">
        <f t="shared" si="11"/>
        <v>#DIV/0!</v>
      </c>
      <c r="U69" s="174">
        <f>J69*'HR       '!$L$12</f>
        <v>0</v>
      </c>
      <c r="V69" s="175" t="e">
        <f>(Y69*('HR       '!$E$9/60))+(('HR       '!$E$7/60)*Z69)+(((P69-450)/1000)*'HR       '!$E$10*Z69)</f>
        <v>#DIV/0!</v>
      </c>
      <c r="W69" s="176"/>
      <c r="X69" s="160">
        <f t="shared" si="12"/>
        <v>0</v>
      </c>
      <c r="Y69" s="160">
        <f t="shared" si="13"/>
        <v>0</v>
      </c>
      <c r="Z69" s="179" t="e">
        <f>((H69+((('HR       '!$E$5*'HR       '!$E$6))*G69)+(F69*5))*I69)/L69</f>
        <v>#DIV/0!</v>
      </c>
      <c r="AA69" s="177" t="e">
        <f t="shared" si="4"/>
        <v>#DIV/0!</v>
      </c>
      <c r="AB69" s="181" t="e">
        <f t="shared" si="14"/>
        <v>#DIV/0!</v>
      </c>
    </row>
    <row r="70" spans="2:28" ht="33" customHeight="1">
      <c r="B70" s="326">
        <v>62</v>
      </c>
      <c r="C70" s="332"/>
      <c r="D70" s="314"/>
      <c r="E70" s="315"/>
      <c r="F70" s="315"/>
      <c r="G70" s="333"/>
      <c r="H70" s="329"/>
      <c r="I70" s="330"/>
      <c r="J70" s="318"/>
      <c r="K70" s="325">
        <v>4</v>
      </c>
      <c r="L70" s="333"/>
      <c r="M70" s="314"/>
      <c r="N70" s="322"/>
      <c r="O70" s="186">
        <v>1.1000000000000001</v>
      </c>
      <c r="P70" s="188">
        <v>700</v>
      </c>
      <c r="Q70" s="335"/>
      <c r="R70" s="158" t="e">
        <f t="shared" si="9"/>
        <v>#DIV/0!</v>
      </c>
      <c r="S70" s="159">
        <f t="shared" si="10"/>
        <v>0</v>
      </c>
      <c r="T70" s="173" t="e">
        <f t="shared" si="11"/>
        <v>#DIV/0!</v>
      </c>
      <c r="U70" s="174">
        <f>J70*'HR       '!$L$12</f>
        <v>0</v>
      </c>
      <c r="V70" s="175" t="e">
        <f>(Y70*('HR       '!$E$9/60))+(('HR       '!$E$7/60)*Z70)+(((P70-450)/1000)*'HR       '!$E$10*Z70)</f>
        <v>#DIV/0!</v>
      </c>
      <c r="W70" s="176"/>
      <c r="X70" s="160">
        <f t="shared" si="12"/>
        <v>0</v>
      </c>
      <c r="Y70" s="160">
        <f t="shared" si="13"/>
        <v>0</v>
      </c>
      <c r="Z70" s="179" t="e">
        <f>((H70+((('HR       '!$E$5*'HR       '!$E$6))*G70)+(F70*5))*I70)/L70</f>
        <v>#DIV/0!</v>
      </c>
      <c r="AA70" s="177" t="e">
        <f t="shared" si="4"/>
        <v>#DIV/0!</v>
      </c>
      <c r="AB70" s="181" t="e">
        <f t="shared" si="14"/>
        <v>#DIV/0!</v>
      </c>
    </row>
    <row r="71" spans="2:28" ht="33" customHeight="1">
      <c r="B71" s="326">
        <v>63</v>
      </c>
      <c r="C71" s="332"/>
      <c r="D71" s="314"/>
      <c r="E71" s="315"/>
      <c r="F71" s="315"/>
      <c r="G71" s="333"/>
      <c r="H71" s="329"/>
      <c r="I71" s="330"/>
      <c r="J71" s="318"/>
      <c r="K71" s="325">
        <v>4</v>
      </c>
      <c r="L71" s="333"/>
      <c r="M71" s="314"/>
      <c r="N71" s="322"/>
      <c r="O71" s="186">
        <v>1.1000000000000001</v>
      </c>
      <c r="P71" s="188">
        <v>700</v>
      </c>
      <c r="Q71" s="335"/>
      <c r="R71" s="158" t="e">
        <f t="shared" si="9"/>
        <v>#DIV/0!</v>
      </c>
      <c r="S71" s="159">
        <f t="shared" si="10"/>
        <v>0</v>
      </c>
      <c r="T71" s="173" t="e">
        <f t="shared" si="11"/>
        <v>#DIV/0!</v>
      </c>
      <c r="U71" s="174">
        <f>J71*'HR       '!$L$12</f>
        <v>0</v>
      </c>
      <c r="V71" s="175" t="e">
        <f>(Y71*('HR       '!$E$9/60))+(('HR       '!$E$7/60)*Z71)+(((P71-450)/1000)*'HR       '!$E$10*Z71)</f>
        <v>#DIV/0!</v>
      </c>
      <c r="W71" s="176"/>
      <c r="X71" s="160">
        <f t="shared" si="12"/>
        <v>0</v>
      </c>
      <c r="Y71" s="160">
        <f t="shared" si="13"/>
        <v>0</v>
      </c>
      <c r="Z71" s="179" t="e">
        <f>((H71+((('HR       '!$E$5*'HR       '!$E$6))*G71)+(F71*5))*I71)/L71</f>
        <v>#DIV/0!</v>
      </c>
      <c r="AA71" s="177" t="e">
        <f t="shared" si="4"/>
        <v>#DIV/0!</v>
      </c>
      <c r="AB71" s="181" t="e">
        <f t="shared" si="14"/>
        <v>#DIV/0!</v>
      </c>
    </row>
    <row r="72" spans="2:28" ht="33" customHeight="1">
      <c r="B72" s="326">
        <v>64</v>
      </c>
      <c r="C72" s="332"/>
      <c r="D72" s="314"/>
      <c r="E72" s="315"/>
      <c r="F72" s="315"/>
      <c r="G72" s="333"/>
      <c r="H72" s="329"/>
      <c r="I72" s="330"/>
      <c r="J72" s="318"/>
      <c r="K72" s="325">
        <v>4</v>
      </c>
      <c r="L72" s="333"/>
      <c r="M72" s="314"/>
      <c r="N72" s="322"/>
      <c r="O72" s="186">
        <v>1.1000000000000001</v>
      </c>
      <c r="P72" s="188">
        <v>700</v>
      </c>
      <c r="Q72" s="335"/>
      <c r="R72" s="158" t="e">
        <f t="shared" si="9"/>
        <v>#DIV/0!</v>
      </c>
      <c r="S72" s="159">
        <f t="shared" si="10"/>
        <v>0</v>
      </c>
      <c r="T72" s="173" t="e">
        <f t="shared" si="11"/>
        <v>#DIV/0!</v>
      </c>
      <c r="U72" s="174">
        <f>J72*'HR       '!$L$12</f>
        <v>0</v>
      </c>
      <c r="V72" s="175" t="e">
        <f>(Y72*('HR       '!$E$9/60))+(('HR       '!$E$7/60)*Z72)+(((P72-450)/1000)*'HR       '!$E$10*Z72)</f>
        <v>#DIV/0!</v>
      </c>
      <c r="W72" s="176"/>
      <c r="X72" s="160">
        <f t="shared" si="12"/>
        <v>0</v>
      </c>
      <c r="Y72" s="160">
        <f t="shared" si="13"/>
        <v>0</v>
      </c>
      <c r="Z72" s="179" t="e">
        <f>((H72+((('HR       '!$E$5*'HR       '!$E$6))*G72)+(F72*5))*I72)/L72</f>
        <v>#DIV/0!</v>
      </c>
      <c r="AA72" s="177" t="e">
        <f t="shared" si="4"/>
        <v>#DIV/0!</v>
      </c>
      <c r="AB72" s="181" t="e">
        <f t="shared" si="14"/>
        <v>#DIV/0!</v>
      </c>
    </row>
    <row r="73" spans="2:28" ht="33" customHeight="1">
      <c r="B73" s="326">
        <v>65</v>
      </c>
      <c r="C73" s="332"/>
      <c r="D73" s="314"/>
      <c r="E73" s="315"/>
      <c r="F73" s="315"/>
      <c r="G73" s="333"/>
      <c r="H73" s="329"/>
      <c r="I73" s="330"/>
      <c r="J73" s="318"/>
      <c r="K73" s="325">
        <v>4</v>
      </c>
      <c r="L73" s="333"/>
      <c r="M73" s="314"/>
      <c r="N73" s="322"/>
      <c r="O73" s="186">
        <v>1.1000000000000001</v>
      </c>
      <c r="P73" s="188">
        <v>700</v>
      </c>
      <c r="Q73" s="335"/>
      <c r="R73" s="158" t="e">
        <f t="shared" si="9"/>
        <v>#DIV/0!</v>
      </c>
      <c r="S73" s="159">
        <f t="shared" si="10"/>
        <v>0</v>
      </c>
      <c r="T73" s="173" t="e">
        <f t="shared" si="11"/>
        <v>#DIV/0!</v>
      </c>
      <c r="U73" s="174">
        <f>J73*'HR       '!$L$12</f>
        <v>0</v>
      </c>
      <c r="V73" s="175" t="e">
        <f>(Y73*('HR       '!$E$9/60))+(('HR       '!$E$7/60)*Z73)+(((P73-450)/1000)*'HR       '!$E$10*Z73)</f>
        <v>#DIV/0!</v>
      </c>
      <c r="W73" s="176"/>
      <c r="X73" s="160">
        <f t="shared" si="12"/>
        <v>0</v>
      </c>
      <c r="Y73" s="160">
        <f t="shared" si="13"/>
        <v>0</v>
      </c>
      <c r="Z73" s="179" t="e">
        <f>((H73+((('HR       '!$E$5*'HR       '!$E$6))*G73)+(F73*5))*I73)/L73</f>
        <v>#DIV/0!</v>
      </c>
      <c r="AA73" s="177" t="e">
        <f t="shared" si="4"/>
        <v>#DIV/0!</v>
      </c>
      <c r="AB73" s="181" t="e">
        <f t="shared" si="14"/>
        <v>#DIV/0!</v>
      </c>
    </row>
    <row r="74" spans="2:28" ht="33" customHeight="1">
      <c r="B74" s="326">
        <v>66</v>
      </c>
      <c r="C74" s="332"/>
      <c r="D74" s="314"/>
      <c r="E74" s="315"/>
      <c r="F74" s="315"/>
      <c r="G74" s="333"/>
      <c r="H74" s="329"/>
      <c r="I74" s="330"/>
      <c r="J74" s="318"/>
      <c r="K74" s="325">
        <v>4</v>
      </c>
      <c r="L74" s="333"/>
      <c r="M74" s="314"/>
      <c r="N74" s="322"/>
      <c r="O74" s="186">
        <v>1.1000000000000001</v>
      </c>
      <c r="P74" s="188">
        <v>700</v>
      </c>
      <c r="Q74" s="335"/>
      <c r="R74" s="158" t="e">
        <f t="shared" si="9"/>
        <v>#DIV/0!</v>
      </c>
      <c r="S74" s="159">
        <f t="shared" si="10"/>
        <v>0</v>
      </c>
      <c r="T74" s="173" t="e">
        <f t="shared" si="11"/>
        <v>#DIV/0!</v>
      </c>
      <c r="U74" s="174">
        <f>J74*'HR       '!$L$12</f>
        <v>0</v>
      </c>
      <c r="V74" s="175" t="e">
        <f>(Y74*('HR       '!$E$9/60))+(('HR       '!$E$7/60)*Z74)+(((P74-450)/1000)*'HR       '!$E$10*Z74)</f>
        <v>#DIV/0!</v>
      </c>
      <c r="W74" s="176"/>
      <c r="X74" s="160">
        <f t="shared" si="12"/>
        <v>0</v>
      </c>
      <c r="Y74" s="160">
        <f t="shared" si="13"/>
        <v>0</v>
      </c>
      <c r="Z74" s="179" t="e">
        <f>((H74+((('HR       '!$E$5*'HR       '!$E$6))*G74)+(F74*5))*I74)/L74</f>
        <v>#DIV/0!</v>
      </c>
      <c r="AA74" s="177" t="e">
        <f t="shared" si="4"/>
        <v>#DIV/0!</v>
      </c>
      <c r="AB74" s="181" t="e">
        <f t="shared" si="14"/>
        <v>#DIV/0!</v>
      </c>
    </row>
    <row r="75" spans="2:28" ht="33" customHeight="1">
      <c r="B75" s="326">
        <v>67</v>
      </c>
      <c r="C75" s="332"/>
      <c r="D75" s="314"/>
      <c r="E75" s="315"/>
      <c r="F75" s="315"/>
      <c r="G75" s="333"/>
      <c r="H75" s="329"/>
      <c r="I75" s="330"/>
      <c r="J75" s="318"/>
      <c r="K75" s="325">
        <v>4</v>
      </c>
      <c r="L75" s="333"/>
      <c r="M75" s="314"/>
      <c r="N75" s="322"/>
      <c r="O75" s="186">
        <v>1.1000000000000001</v>
      </c>
      <c r="P75" s="188">
        <v>700</v>
      </c>
      <c r="Q75" s="335"/>
      <c r="R75" s="158" t="e">
        <f t="shared" si="9"/>
        <v>#DIV/0!</v>
      </c>
      <c r="S75" s="159">
        <f t="shared" si="10"/>
        <v>0</v>
      </c>
      <c r="T75" s="173" t="e">
        <f t="shared" si="11"/>
        <v>#DIV/0!</v>
      </c>
      <c r="U75" s="174">
        <f>J75*'HR       '!$L$12</f>
        <v>0</v>
      </c>
      <c r="V75" s="175" t="e">
        <f>(Y75*('HR       '!$E$9/60))+(('HR       '!$E$7/60)*Z75)+(((P75-450)/1000)*'HR       '!$E$10*Z75)</f>
        <v>#DIV/0!</v>
      </c>
      <c r="W75" s="176"/>
      <c r="X75" s="160">
        <f t="shared" si="12"/>
        <v>0</v>
      </c>
      <c r="Y75" s="160">
        <f t="shared" si="13"/>
        <v>0</v>
      </c>
      <c r="Z75" s="179" t="e">
        <f>((H75+((('HR       '!$E$5*'HR       '!$E$6))*G75)+(F75*5))*I75)/L75</f>
        <v>#DIV/0!</v>
      </c>
      <c r="AA75" s="177" t="e">
        <f t="shared" ref="AA75:AA111" si="15">X75+Y75+Z75</f>
        <v>#DIV/0!</v>
      </c>
      <c r="AB75" s="181" t="e">
        <f t="shared" si="14"/>
        <v>#DIV/0!</v>
      </c>
    </row>
    <row r="76" spans="2:28" ht="33" customHeight="1">
      <c r="B76" s="326">
        <v>68</v>
      </c>
      <c r="C76" s="332"/>
      <c r="D76" s="314"/>
      <c r="E76" s="315"/>
      <c r="F76" s="315"/>
      <c r="G76" s="333"/>
      <c r="H76" s="329"/>
      <c r="I76" s="330"/>
      <c r="J76" s="318"/>
      <c r="K76" s="325">
        <v>4</v>
      </c>
      <c r="L76" s="333"/>
      <c r="M76" s="314"/>
      <c r="N76" s="322"/>
      <c r="O76" s="186">
        <v>1.1000000000000001</v>
      </c>
      <c r="P76" s="188">
        <v>700</v>
      </c>
      <c r="Q76" s="335"/>
      <c r="R76" s="158" t="e">
        <f t="shared" si="9"/>
        <v>#DIV/0!</v>
      </c>
      <c r="S76" s="159">
        <f t="shared" si="10"/>
        <v>0</v>
      </c>
      <c r="T76" s="173" t="e">
        <f t="shared" si="11"/>
        <v>#DIV/0!</v>
      </c>
      <c r="U76" s="174">
        <f>J76*'HR       '!$L$12</f>
        <v>0</v>
      </c>
      <c r="V76" s="175" t="e">
        <f>(Y76*('HR       '!$E$9/60))+(('HR       '!$E$7/60)*Z76)+(((P76-450)/1000)*'HR       '!$E$10*Z76)</f>
        <v>#DIV/0!</v>
      </c>
      <c r="W76" s="176"/>
      <c r="X76" s="160">
        <f t="shared" si="12"/>
        <v>0</v>
      </c>
      <c r="Y76" s="160">
        <f t="shared" si="13"/>
        <v>0</v>
      </c>
      <c r="Z76" s="179" t="e">
        <f>((H76+((('HR       '!$E$5*'HR       '!$E$6))*G76)+(F76*5))*I76)/L76</f>
        <v>#DIV/0!</v>
      </c>
      <c r="AA76" s="177" t="e">
        <f t="shared" si="15"/>
        <v>#DIV/0!</v>
      </c>
      <c r="AB76" s="181" t="e">
        <f t="shared" si="14"/>
        <v>#DIV/0!</v>
      </c>
    </row>
    <row r="77" spans="2:28" ht="33" customHeight="1">
      <c r="B77" s="326">
        <v>69</v>
      </c>
      <c r="C77" s="332"/>
      <c r="D77" s="314"/>
      <c r="E77" s="315"/>
      <c r="F77" s="315"/>
      <c r="G77" s="333"/>
      <c r="H77" s="329"/>
      <c r="I77" s="330"/>
      <c r="J77" s="318"/>
      <c r="K77" s="325">
        <v>4</v>
      </c>
      <c r="L77" s="333"/>
      <c r="M77" s="314"/>
      <c r="N77" s="322"/>
      <c r="O77" s="186">
        <v>1.1000000000000001</v>
      </c>
      <c r="P77" s="188">
        <v>700</v>
      </c>
      <c r="Q77" s="335"/>
      <c r="R77" s="158" t="e">
        <f t="shared" si="9"/>
        <v>#DIV/0!</v>
      </c>
      <c r="S77" s="159">
        <f t="shared" si="10"/>
        <v>0</v>
      </c>
      <c r="T77" s="173" t="e">
        <f t="shared" si="11"/>
        <v>#DIV/0!</v>
      </c>
      <c r="U77" s="174">
        <f>J77*'HR       '!$L$12</f>
        <v>0</v>
      </c>
      <c r="V77" s="175" t="e">
        <f>(Y77*('HR       '!$E$9/60))+(('HR       '!$E$7/60)*Z77)+(((P77-450)/1000)*'HR       '!$E$10*Z77)</f>
        <v>#DIV/0!</v>
      </c>
      <c r="W77" s="176"/>
      <c r="X77" s="160">
        <f t="shared" si="12"/>
        <v>0</v>
      </c>
      <c r="Y77" s="160">
        <f t="shared" si="13"/>
        <v>0</v>
      </c>
      <c r="Z77" s="179" t="e">
        <f>((H77+((('HR       '!$E$5*'HR       '!$E$6))*G77)+(F77*5))*I77)/L77</f>
        <v>#DIV/0!</v>
      </c>
      <c r="AA77" s="177" t="e">
        <f t="shared" si="15"/>
        <v>#DIV/0!</v>
      </c>
      <c r="AB77" s="181" t="e">
        <f t="shared" si="14"/>
        <v>#DIV/0!</v>
      </c>
    </row>
    <row r="78" spans="2:28" ht="33" customHeight="1">
      <c r="B78" s="326">
        <v>70</v>
      </c>
      <c r="C78" s="332"/>
      <c r="D78" s="314"/>
      <c r="E78" s="315"/>
      <c r="F78" s="315"/>
      <c r="G78" s="333"/>
      <c r="H78" s="329"/>
      <c r="I78" s="330"/>
      <c r="J78" s="318"/>
      <c r="K78" s="325">
        <v>4</v>
      </c>
      <c r="L78" s="333"/>
      <c r="M78" s="314"/>
      <c r="N78" s="322"/>
      <c r="O78" s="186">
        <v>1.1000000000000001</v>
      </c>
      <c r="P78" s="188">
        <v>700</v>
      </c>
      <c r="Q78" s="335"/>
      <c r="R78" s="158" t="e">
        <f t="shared" si="9"/>
        <v>#DIV/0!</v>
      </c>
      <c r="S78" s="159">
        <f t="shared" si="10"/>
        <v>0</v>
      </c>
      <c r="T78" s="173" t="e">
        <f t="shared" si="11"/>
        <v>#DIV/0!</v>
      </c>
      <c r="U78" s="174">
        <f>J78*'HR       '!$L$12</f>
        <v>0</v>
      </c>
      <c r="V78" s="175" t="e">
        <f>(Y78*('HR       '!$E$9/60))+(('HR       '!$E$7/60)*Z78)+(((P78-450)/1000)*'HR       '!$E$10*Z78)</f>
        <v>#DIV/0!</v>
      </c>
      <c r="W78" s="176"/>
      <c r="X78" s="160">
        <f t="shared" si="12"/>
        <v>0</v>
      </c>
      <c r="Y78" s="160">
        <f t="shared" si="13"/>
        <v>0</v>
      </c>
      <c r="Z78" s="179" t="e">
        <f>((H78+((('HR       '!$E$5*'HR       '!$E$6))*G78)+(F78*5))*I78)/L78</f>
        <v>#DIV/0!</v>
      </c>
      <c r="AA78" s="177" t="e">
        <f t="shared" si="15"/>
        <v>#DIV/0!</v>
      </c>
      <c r="AB78" s="181" t="e">
        <f t="shared" si="14"/>
        <v>#DIV/0!</v>
      </c>
    </row>
    <row r="79" spans="2:28" ht="33" customHeight="1">
      <c r="B79" s="326">
        <v>71</v>
      </c>
      <c r="C79" s="332"/>
      <c r="D79" s="314"/>
      <c r="E79" s="315"/>
      <c r="F79" s="315"/>
      <c r="G79" s="333"/>
      <c r="H79" s="329"/>
      <c r="I79" s="330"/>
      <c r="J79" s="318"/>
      <c r="K79" s="325">
        <v>4</v>
      </c>
      <c r="L79" s="333"/>
      <c r="M79" s="314"/>
      <c r="N79" s="322"/>
      <c r="O79" s="186">
        <v>1.1000000000000001</v>
      </c>
      <c r="P79" s="188">
        <v>700</v>
      </c>
      <c r="Q79" s="335"/>
      <c r="R79" s="158" t="e">
        <f t="shared" si="9"/>
        <v>#DIV/0!</v>
      </c>
      <c r="S79" s="159">
        <f t="shared" si="10"/>
        <v>0</v>
      </c>
      <c r="T79" s="173" t="e">
        <f t="shared" si="11"/>
        <v>#DIV/0!</v>
      </c>
      <c r="U79" s="174">
        <f>J79*'HR       '!$L$12</f>
        <v>0</v>
      </c>
      <c r="V79" s="175" t="e">
        <f>(Y79*('HR       '!$E$9/60))+(('HR       '!$E$7/60)*Z79)+(((P79-450)/1000)*'HR       '!$E$10*Z79)</f>
        <v>#DIV/0!</v>
      </c>
      <c r="W79" s="176"/>
      <c r="X79" s="160">
        <f t="shared" si="12"/>
        <v>0</v>
      </c>
      <c r="Y79" s="160">
        <f t="shared" si="13"/>
        <v>0</v>
      </c>
      <c r="Z79" s="179" t="e">
        <f>((H79+((('HR       '!$E$5*'HR       '!$E$6))*G79)+(F79*5))*I79)/L79</f>
        <v>#DIV/0!</v>
      </c>
      <c r="AA79" s="177" t="e">
        <f t="shared" si="15"/>
        <v>#DIV/0!</v>
      </c>
      <c r="AB79" s="181" t="e">
        <f t="shared" si="14"/>
        <v>#DIV/0!</v>
      </c>
    </row>
    <row r="80" spans="2:28" ht="33" customHeight="1">
      <c r="B80" s="326">
        <v>72</v>
      </c>
      <c r="C80" s="332"/>
      <c r="D80" s="314"/>
      <c r="E80" s="315"/>
      <c r="F80" s="315"/>
      <c r="G80" s="333"/>
      <c r="H80" s="329"/>
      <c r="I80" s="330"/>
      <c r="J80" s="318"/>
      <c r="K80" s="325">
        <v>4</v>
      </c>
      <c r="L80" s="333"/>
      <c r="M80" s="314"/>
      <c r="N80" s="322"/>
      <c r="O80" s="186">
        <v>1.1000000000000001</v>
      </c>
      <c r="P80" s="188">
        <v>700</v>
      </c>
      <c r="Q80" s="335"/>
      <c r="R80" s="158" t="e">
        <f t="shared" si="9"/>
        <v>#DIV/0!</v>
      </c>
      <c r="S80" s="159">
        <f t="shared" si="10"/>
        <v>0</v>
      </c>
      <c r="T80" s="173" t="e">
        <f t="shared" si="11"/>
        <v>#DIV/0!</v>
      </c>
      <c r="U80" s="174">
        <f>J80*'HR       '!$L$12</f>
        <v>0</v>
      </c>
      <c r="V80" s="175" t="e">
        <f>(Y80*('HR       '!$E$9/60))+(('HR       '!$E$7/60)*Z80)+(((P80-450)/1000)*'HR       '!$E$10*Z80)</f>
        <v>#DIV/0!</v>
      </c>
      <c r="W80" s="176"/>
      <c r="X80" s="160">
        <f t="shared" si="12"/>
        <v>0</v>
      </c>
      <c r="Y80" s="160">
        <f t="shared" si="13"/>
        <v>0</v>
      </c>
      <c r="Z80" s="179" t="e">
        <f>((H80+((('HR       '!$E$5*'HR       '!$E$6))*G80)+(F80*5))*I80)/L80</f>
        <v>#DIV/0!</v>
      </c>
      <c r="AA80" s="177" t="e">
        <f t="shared" si="15"/>
        <v>#DIV/0!</v>
      </c>
      <c r="AB80" s="181" t="e">
        <f t="shared" si="14"/>
        <v>#DIV/0!</v>
      </c>
    </row>
    <row r="81" spans="2:28" ht="33" customHeight="1">
      <c r="B81" s="326">
        <v>73</v>
      </c>
      <c r="C81" s="332"/>
      <c r="D81" s="314"/>
      <c r="E81" s="315"/>
      <c r="F81" s="315"/>
      <c r="G81" s="333"/>
      <c r="H81" s="329"/>
      <c r="I81" s="330"/>
      <c r="J81" s="318"/>
      <c r="K81" s="325">
        <v>4</v>
      </c>
      <c r="L81" s="333"/>
      <c r="M81" s="314"/>
      <c r="N81" s="322"/>
      <c r="O81" s="186">
        <v>1.1000000000000001</v>
      </c>
      <c r="P81" s="188">
        <v>700</v>
      </c>
      <c r="Q81" s="335"/>
      <c r="R81" s="158" t="e">
        <f t="shared" si="9"/>
        <v>#DIV/0!</v>
      </c>
      <c r="S81" s="159">
        <f t="shared" si="10"/>
        <v>0</v>
      </c>
      <c r="T81" s="173" t="e">
        <f t="shared" si="11"/>
        <v>#DIV/0!</v>
      </c>
      <c r="U81" s="174">
        <f>J81*'HR       '!$L$12</f>
        <v>0</v>
      </c>
      <c r="V81" s="175" t="e">
        <f>(Y81*('HR       '!$E$9/60))+(('HR       '!$E$7/60)*Z81)+(((P81-450)/1000)*'HR       '!$E$10*Z81)</f>
        <v>#DIV/0!</v>
      </c>
      <c r="W81" s="176"/>
      <c r="X81" s="160">
        <f t="shared" si="12"/>
        <v>0</v>
      </c>
      <c r="Y81" s="160">
        <f t="shared" si="13"/>
        <v>0</v>
      </c>
      <c r="Z81" s="179" t="e">
        <f>((H81+((('HR       '!$E$5*'HR       '!$E$6))*G81)+(F81*5))*I81)/L81</f>
        <v>#DIV/0!</v>
      </c>
      <c r="AA81" s="177" t="e">
        <f t="shared" si="15"/>
        <v>#DIV/0!</v>
      </c>
      <c r="AB81" s="181" t="e">
        <f t="shared" si="14"/>
        <v>#DIV/0!</v>
      </c>
    </row>
    <row r="82" spans="2:28" ht="33" customHeight="1">
      <c r="B82" s="326">
        <v>74</v>
      </c>
      <c r="C82" s="332"/>
      <c r="D82" s="314"/>
      <c r="E82" s="315"/>
      <c r="F82" s="315"/>
      <c r="G82" s="333"/>
      <c r="H82" s="329"/>
      <c r="I82" s="330"/>
      <c r="J82" s="318"/>
      <c r="K82" s="325">
        <v>4</v>
      </c>
      <c r="L82" s="333"/>
      <c r="M82" s="314"/>
      <c r="N82" s="322"/>
      <c r="O82" s="186">
        <v>1.1000000000000001</v>
      </c>
      <c r="P82" s="188">
        <v>700</v>
      </c>
      <c r="Q82" s="335"/>
      <c r="R82" s="158" t="e">
        <f t="shared" si="9"/>
        <v>#DIV/0!</v>
      </c>
      <c r="S82" s="159">
        <f t="shared" si="10"/>
        <v>0</v>
      </c>
      <c r="T82" s="173" t="e">
        <f t="shared" si="11"/>
        <v>#DIV/0!</v>
      </c>
      <c r="U82" s="174">
        <f>J82*'HR       '!$L$12</f>
        <v>0</v>
      </c>
      <c r="V82" s="175" t="e">
        <f>(Y82*('HR       '!$E$9/60))+(('HR       '!$E$7/60)*Z82)+(((P82-450)/1000)*'HR       '!$E$10*Z82)</f>
        <v>#DIV/0!</v>
      </c>
      <c r="W82" s="176"/>
      <c r="X82" s="160">
        <f t="shared" si="12"/>
        <v>0</v>
      </c>
      <c r="Y82" s="160">
        <f t="shared" si="13"/>
        <v>0</v>
      </c>
      <c r="Z82" s="179" t="e">
        <f>((H82+((('HR       '!$E$5*'HR       '!$E$6))*G82)+(F82*5))*I82)/L82</f>
        <v>#DIV/0!</v>
      </c>
      <c r="AA82" s="177" t="e">
        <f t="shared" si="15"/>
        <v>#DIV/0!</v>
      </c>
      <c r="AB82" s="181" t="e">
        <f t="shared" si="14"/>
        <v>#DIV/0!</v>
      </c>
    </row>
    <row r="83" spans="2:28" ht="33" customHeight="1">
      <c r="B83" s="326">
        <v>75</v>
      </c>
      <c r="C83" s="332"/>
      <c r="D83" s="314"/>
      <c r="E83" s="315"/>
      <c r="F83" s="315"/>
      <c r="G83" s="333"/>
      <c r="H83" s="329"/>
      <c r="I83" s="330"/>
      <c r="J83" s="318"/>
      <c r="K83" s="325">
        <v>4</v>
      </c>
      <c r="L83" s="333"/>
      <c r="M83" s="314"/>
      <c r="N83" s="322"/>
      <c r="O83" s="186">
        <v>1.1000000000000001</v>
      </c>
      <c r="P83" s="188">
        <v>700</v>
      </c>
      <c r="Q83" s="335"/>
      <c r="R83" s="158" t="e">
        <f t="shared" si="9"/>
        <v>#DIV/0!</v>
      </c>
      <c r="S83" s="159">
        <f t="shared" si="10"/>
        <v>0</v>
      </c>
      <c r="T83" s="173" t="e">
        <f t="shared" si="11"/>
        <v>#DIV/0!</v>
      </c>
      <c r="U83" s="174">
        <f>J83*'HR       '!$L$12</f>
        <v>0</v>
      </c>
      <c r="V83" s="175" t="e">
        <f>(Y83*('HR       '!$E$9/60))+(('HR       '!$E$7/60)*Z83)+(((P83-450)/1000)*'HR       '!$E$10*Z83)</f>
        <v>#DIV/0!</v>
      </c>
      <c r="W83" s="176"/>
      <c r="X83" s="160">
        <f t="shared" si="12"/>
        <v>0</v>
      </c>
      <c r="Y83" s="160">
        <f t="shared" si="13"/>
        <v>0</v>
      </c>
      <c r="Z83" s="179" t="e">
        <f>((H83+((('HR       '!$E$5*'HR       '!$E$6))*G83)+(F83*5))*I83)/L83</f>
        <v>#DIV/0!</v>
      </c>
      <c r="AA83" s="177" t="e">
        <f t="shared" si="15"/>
        <v>#DIV/0!</v>
      </c>
      <c r="AB83" s="181" t="e">
        <f t="shared" si="14"/>
        <v>#DIV/0!</v>
      </c>
    </row>
    <row r="84" spans="2:28" ht="33" customHeight="1">
      <c r="B84" s="326">
        <v>76</v>
      </c>
      <c r="C84" s="332"/>
      <c r="D84" s="314"/>
      <c r="E84" s="315"/>
      <c r="F84" s="315"/>
      <c r="G84" s="333"/>
      <c r="H84" s="329"/>
      <c r="I84" s="330"/>
      <c r="J84" s="318"/>
      <c r="K84" s="325">
        <v>4</v>
      </c>
      <c r="L84" s="333"/>
      <c r="M84" s="314"/>
      <c r="N84" s="322"/>
      <c r="O84" s="186">
        <v>1.1000000000000001</v>
      </c>
      <c r="P84" s="188">
        <v>700</v>
      </c>
      <c r="Q84" s="335"/>
      <c r="R84" s="158" t="e">
        <f t="shared" si="9"/>
        <v>#DIV/0!</v>
      </c>
      <c r="S84" s="159">
        <f t="shared" si="10"/>
        <v>0</v>
      </c>
      <c r="T84" s="173" t="e">
        <f t="shared" si="11"/>
        <v>#DIV/0!</v>
      </c>
      <c r="U84" s="174">
        <f>J84*'HR       '!$L$12</f>
        <v>0</v>
      </c>
      <c r="V84" s="175" t="e">
        <f>(Y84*('HR       '!$E$9/60))+(('HR       '!$E$7/60)*Z84)+(((P84-450)/1000)*'HR       '!$E$10*Z84)</f>
        <v>#DIV/0!</v>
      </c>
      <c r="W84" s="176"/>
      <c r="X84" s="160">
        <f t="shared" si="12"/>
        <v>0</v>
      </c>
      <c r="Y84" s="160">
        <f t="shared" si="13"/>
        <v>0</v>
      </c>
      <c r="Z84" s="179" t="e">
        <f>((H84+((('HR       '!$E$5*'HR       '!$E$6))*G84)+(F84*5))*I84)/L84</f>
        <v>#DIV/0!</v>
      </c>
      <c r="AA84" s="177" t="e">
        <f t="shared" si="15"/>
        <v>#DIV/0!</v>
      </c>
      <c r="AB84" s="181" t="e">
        <f t="shared" si="14"/>
        <v>#DIV/0!</v>
      </c>
    </row>
    <row r="85" spans="2:28" ht="33" customHeight="1">
      <c r="B85" s="326">
        <v>77</v>
      </c>
      <c r="C85" s="332"/>
      <c r="D85" s="314"/>
      <c r="E85" s="315"/>
      <c r="F85" s="315"/>
      <c r="G85" s="333"/>
      <c r="H85" s="329"/>
      <c r="I85" s="330"/>
      <c r="J85" s="318"/>
      <c r="K85" s="325">
        <v>4</v>
      </c>
      <c r="L85" s="333"/>
      <c r="M85" s="314"/>
      <c r="N85" s="322"/>
      <c r="O85" s="186">
        <v>1.1000000000000001</v>
      </c>
      <c r="P85" s="188">
        <v>700</v>
      </c>
      <c r="Q85" s="335"/>
      <c r="R85" s="158" t="e">
        <f t="shared" si="9"/>
        <v>#DIV/0!</v>
      </c>
      <c r="S85" s="159">
        <f t="shared" si="10"/>
        <v>0</v>
      </c>
      <c r="T85" s="173" t="e">
        <f t="shared" si="11"/>
        <v>#DIV/0!</v>
      </c>
      <c r="U85" s="174">
        <f>J85*'HR       '!$L$12</f>
        <v>0</v>
      </c>
      <c r="V85" s="175" t="e">
        <f>(Y85*('HR       '!$E$9/60))+(('HR       '!$E$7/60)*Z85)+(((P85-450)/1000)*'HR       '!$E$10*Z85)</f>
        <v>#DIV/0!</v>
      </c>
      <c r="W85" s="176"/>
      <c r="X85" s="160">
        <f t="shared" si="12"/>
        <v>0</v>
      </c>
      <c r="Y85" s="160">
        <f t="shared" si="13"/>
        <v>0</v>
      </c>
      <c r="Z85" s="179" t="e">
        <f>((H85+((('HR       '!$E$5*'HR       '!$E$6))*G85)+(F85*5))*I85)/L85</f>
        <v>#DIV/0!</v>
      </c>
      <c r="AA85" s="177" t="e">
        <f t="shared" si="15"/>
        <v>#DIV/0!</v>
      </c>
      <c r="AB85" s="181" t="e">
        <f t="shared" si="14"/>
        <v>#DIV/0!</v>
      </c>
    </row>
    <row r="86" spans="2:28" ht="33" customHeight="1">
      <c r="B86" s="326">
        <v>78</v>
      </c>
      <c r="C86" s="332"/>
      <c r="D86" s="314"/>
      <c r="E86" s="315"/>
      <c r="F86" s="315"/>
      <c r="G86" s="333"/>
      <c r="H86" s="329"/>
      <c r="I86" s="330"/>
      <c r="J86" s="318"/>
      <c r="K86" s="325">
        <v>4</v>
      </c>
      <c r="L86" s="333"/>
      <c r="M86" s="314"/>
      <c r="N86" s="322"/>
      <c r="O86" s="186">
        <v>1.1000000000000001</v>
      </c>
      <c r="P86" s="188">
        <v>700</v>
      </c>
      <c r="Q86" s="335"/>
      <c r="R86" s="158" t="e">
        <f t="shared" si="9"/>
        <v>#DIV/0!</v>
      </c>
      <c r="S86" s="159">
        <f t="shared" si="10"/>
        <v>0</v>
      </c>
      <c r="T86" s="173" t="e">
        <f t="shared" si="11"/>
        <v>#DIV/0!</v>
      </c>
      <c r="U86" s="174">
        <f>J86*'HR       '!$L$12</f>
        <v>0</v>
      </c>
      <c r="V86" s="175" t="e">
        <f>(Y86*('HR       '!$E$9/60))+(('HR       '!$E$7/60)*Z86)+(((P86-450)/1000)*'HR       '!$E$10*Z86)</f>
        <v>#DIV/0!</v>
      </c>
      <c r="W86" s="176"/>
      <c r="X86" s="160">
        <f t="shared" si="12"/>
        <v>0</v>
      </c>
      <c r="Y86" s="160">
        <f t="shared" si="13"/>
        <v>0</v>
      </c>
      <c r="Z86" s="179" t="e">
        <f>((H86+((('HR       '!$E$5*'HR       '!$E$6))*G86)+(F86*5))*I86)/L86</f>
        <v>#DIV/0!</v>
      </c>
      <c r="AA86" s="177" t="e">
        <f t="shared" si="15"/>
        <v>#DIV/0!</v>
      </c>
      <c r="AB86" s="181" t="e">
        <f t="shared" si="14"/>
        <v>#DIV/0!</v>
      </c>
    </row>
    <row r="87" spans="2:28" ht="33" customHeight="1">
      <c r="B87" s="326">
        <v>79</v>
      </c>
      <c r="C87" s="332"/>
      <c r="D87" s="314"/>
      <c r="E87" s="315"/>
      <c r="F87" s="315"/>
      <c r="G87" s="333"/>
      <c r="H87" s="329"/>
      <c r="I87" s="330"/>
      <c r="J87" s="318"/>
      <c r="K87" s="325">
        <v>4</v>
      </c>
      <c r="L87" s="333"/>
      <c r="M87" s="314"/>
      <c r="N87" s="322"/>
      <c r="O87" s="186">
        <v>1.1000000000000001</v>
      </c>
      <c r="P87" s="188">
        <v>700</v>
      </c>
      <c r="Q87" s="335"/>
      <c r="R87" s="158" t="e">
        <f t="shared" si="9"/>
        <v>#DIV/0!</v>
      </c>
      <c r="S87" s="159">
        <f t="shared" si="10"/>
        <v>0</v>
      </c>
      <c r="T87" s="173" t="e">
        <f t="shared" si="11"/>
        <v>#DIV/0!</v>
      </c>
      <c r="U87" s="174">
        <f>J87*'HR       '!$L$12</f>
        <v>0</v>
      </c>
      <c r="V87" s="175" t="e">
        <f>(Y87*('HR       '!$E$9/60))+(('HR       '!$E$7/60)*Z87)+(((P87-450)/1000)*'HR       '!$E$10*Z87)</f>
        <v>#DIV/0!</v>
      </c>
      <c r="W87" s="176"/>
      <c r="X87" s="160">
        <f t="shared" si="12"/>
        <v>0</v>
      </c>
      <c r="Y87" s="160">
        <f t="shared" si="13"/>
        <v>0</v>
      </c>
      <c r="Z87" s="179" t="e">
        <f>((H87+((('HR       '!$E$5*'HR       '!$E$6))*G87)+(F87*5))*I87)/L87</f>
        <v>#DIV/0!</v>
      </c>
      <c r="AA87" s="177" t="e">
        <f t="shared" si="15"/>
        <v>#DIV/0!</v>
      </c>
      <c r="AB87" s="181" t="e">
        <f t="shared" si="14"/>
        <v>#DIV/0!</v>
      </c>
    </row>
    <row r="88" spans="2:28" ht="33" customHeight="1">
      <c r="B88" s="326">
        <v>80</v>
      </c>
      <c r="C88" s="332"/>
      <c r="D88" s="314"/>
      <c r="E88" s="315"/>
      <c r="F88" s="315"/>
      <c r="G88" s="333"/>
      <c r="H88" s="329"/>
      <c r="I88" s="330"/>
      <c r="J88" s="318"/>
      <c r="K88" s="325">
        <v>4</v>
      </c>
      <c r="L88" s="333"/>
      <c r="M88" s="314"/>
      <c r="N88" s="322"/>
      <c r="O88" s="186">
        <v>1.1000000000000001</v>
      </c>
      <c r="P88" s="188">
        <v>700</v>
      </c>
      <c r="Q88" s="335"/>
      <c r="R88" s="158" t="e">
        <f t="shared" si="9"/>
        <v>#DIV/0!</v>
      </c>
      <c r="S88" s="159">
        <f t="shared" si="10"/>
        <v>0</v>
      </c>
      <c r="T88" s="173" t="e">
        <f t="shared" si="11"/>
        <v>#DIV/0!</v>
      </c>
      <c r="U88" s="174">
        <f>J88*'HR       '!$L$12</f>
        <v>0</v>
      </c>
      <c r="V88" s="175" t="e">
        <f>(Y88*('HR       '!$E$9/60))+(('HR       '!$E$7/60)*Z88)+(((P88-450)/1000)*'HR       '!$E$10*Z88)</f>
        <v>#DIV/0!</v>
      </c>
      <c r="W88" s="176"/>
      <c r="X88" s="160">
        <f t="shared" si="12"/>
        <v>0</v>
      </c>
      <c r="Y88" s="160">
        <f t="shared" si="13"/>
        <v>0</v>
      </c>
      <c r="Z88" s="179" t="e">
        <f>((H88+((('HR       '!$E$5*'HR       '!$E$6))*G88)+(F88*5))*I88)/L88</f>
        <v>#DIV/0!</v>
      </c>
      <c r="AA88" s="177" t="e">
        <f t="shared" si="15"/>
        <v>#DIV/0!</v>
      </c>
      <c r="AB88" s="181" t="e">
        <f t="shared" si="14"/>
        <v>#DIV/0!</v>
      </c>
    </row>
    <row r="89" spans="2:28" ht="33" customHeight="1">
      <c r="B89" s="326">
        <v>81</v>
      </c>
      <c r="C89" s="332"/>
      <c r="D89" s="314"/>
      <c r="E89" s="315"/>
      <c r="F89" s="315"/>
      <c r="G89" s="333"/>
      <c r="H89" s="329"/>
      <c r="I89" s="330"/>
      <c r="J89" s="318"/>
      <c r="K89" s="325">
        <v>4</v>
      </c>
      <c r="L89" s="333"/>
      <c r="M89" s="314"/>
      <c r="N89" s="322"/>
      <c r="O89" s="186">
        <v>1.1000000000000001</v>
      </c>
      <c r="P89" s="188">
        <v>700</v>
      </c>
      <c r="Q89" s="335"/>
      <c r="R89" s="158" t="e">
        <f t="shared" si="9"/>
        <v>#DIV/0!</v>
      </c>
      <c r="S89" s="159">
        <f t="shared" si="10"/>
        <v>0</v>
      </c>
      <c r="T89" s="173" t="e">
        <f t="shared" si="11"/>
        <v>#DIV/0!</v>
      </c>
      <c r="U89" s="174">
        <f>J89*'HR       '!$L$12</f>
        <v>0</v>
      </c>
      <c r="V89" s="175" t="e">
        <f>(Y89*('HR       '!$E$9/60))+(('HR       '!$E$7/60)*Z89)+(((P89-450)/1000)*'HR       '!$E$10*Z89)</f>
        <v>#DIV/0!</v>
      </c>
      <c r="W89" s="176"/>
      <c r="X89" s="160">
        <f t="shared" si="12"/>
        <v>0</v>
      </c>
      <c r="Y89" s="160">
        <f t="shared" si="13"/>
        <v>0</v>
      </c>
      <c r="Z89" s="179" t="e">
        <f>((H89+((('HR       '!$E$5*'HR       '!$E$6))*G89)+(F89*5))*I89)/L89</f>
        <v>#DIV/0!</v>
      </c>
      <c r="AA89" s="177" t="e">
        <f t="shared" si="15"/>
        <v>#DIV/0!</v>
      </c>
      <c r="AB89" s="181" t="e">
        <f t="shared" si="14"/>
        <v>#DIV/0!</v>
      </c>
    </row>
    <row r="90" spans="2:28" ht="33" customHeight="1">
      <c r="B90" s="326">
        <v>82</v>
      </c>
      <c r="C90" s="332"/>
      <c r="D90" s="314"/>
      <c r="E90" s="315"/>
      <c r="F90" s="315"/>
      <c r="G90" s="333"/>
      <c r="H90" s="329"/>
      <c r="I90" s="330"/>
      <c r="J90" s="318"/>
      <c r="K90" s="325">
        <v>4</v>
      </c>
      <c r="L90" s="333"/>
      <c r="M90" s="314"/>
      <c r="N90" s="322"/>
      <c r="O90" s="186">
        <v>1.1000000000000001</v>
      </c>
      <c r="P90" s="188">
        <v>700</v>
      </c>
      <c r="Q90" s="335"/>
      <c r="R90" s="158" t="e">
        <f t="shared" si="9"/>
        <v>#DIV/0!</v>
      </c>
      <c r="S90" s="159">
        <f t="shared" si="10"/>
        <v>0</v>
      </c>
      <c r="T90" s="173" t="e">
        <f t="shared" si="11"/>
        <v>#DIV/0!</v>
      </c>
      <c r="U90" s="174">
        <f>J90*'HR       '!$L$12</f>
        <v>0</v>
      </c>
      <c r="V90" s="175" t="e">
        <f>(Y90*('HR       '!$E$9/60))+(('HR       '!$E$7/60)*Z90)+(((P90-450)/1000)*'HR       '!$E$10*Z90)</f>
        <v>#DIV/0!</v>
      </c>
      <c r="W90" s="176"/>
      <c r="X90" s="160">
        <f t="shared" si="12"/>
        <v>0</v>
      </c>
      <c r="Y90" s="160">
        <f t="shared" si="13"/>
        <v>0</v>
      </c>
      <c r="Z90" s="179" t="e">
        <f>((H90+((('HR       '!$E$5*'HR       '!$E$6))*G90)+(F90*5))*I90)/L90</f>
        <v>#DIV/0!</v>
      </c>
      <c r="AA90" s="177" t="e">
        <f t="shared" si="15"/>
        <v>#DIV/0!</v>
      </c>
      <c r="AB90" s="181" t="e">
        <f t="shared" si="14"/>
        <v>#DIV/0!</v>
      </c>
    </row>
    <row r="91" spans="2:28" ht="33" customHeight="1">
      <c r="B91" s="326">
        <v>83</v>
      </c>
      <c r="C91" s="332"/>
      <c r="D91" s="314"/>
      <c r="E91" s="315"/>
      <c r="F91" s="315"/>
      <c r="G91" s="333"/>
      <c r="H91" s="329"/>
      <c r="I91" s="330"/>
      <c r="J91" s="318"/>
      <c r="K91" s="325">
        <v>4</v>
      </c>
      <c r="L91" s="333"/>
      <c r="M91" s="314"/>
      <c r="N91" s="322"/>
      <c r="O91" s="186">
        <v>1.1000000000000001</v>
      </c>
      <c r="P91" s="188">
        <v>700</v>
      </c>
      <c r="Q91" s="335"/>
      <c r="R91" s="158" t="e">
        <f t="shared" si="9"/>
        <v>#DIV/0!</v>
      </c>
      <c r="S91" s="159">
        <f t="shared" si="10"/>
        <v>0</v>
      </c>
      <c r="T91" s="173" t="e">
        <f t="shared" si="11"/>
        <v>#DIV/0!</v>
      </c>
      <c r="U91" s="174">
        <f>J91*'HR       '!$L$12</f>
        <v>0</v>
      </c>
      <c r="V91" s="175" t="e">
        <f>(Y91*('HR       '!$E$9/60))+(('HR       '!$E$7/60)*Z91)+(((P91-450)/1000)*'HR       '!$E$10*Z91)</f>
        <v>#DIV/0!</v>
      </c>
      <c r="W91" s="176"/>
      <c r="X91" s="160">
        <f t="shared" si="12"/>
        <v>0</v>
      </c>
      <c r="Y91" s="160">
        <f t="shared" si="13"/>
        <v>0</v>
      </c>
      <c r="Z91" s="179" t="e">
        <f>((H91+((('HR       '!$E$5*'HR       '!$E$6))*G91)+(F91*5))*I91)/L91</f>
        <v>#DIV/0!</v>
      </c>
      <c r="AA91" s="177" t="e">
        <f t="shared" si="15"/>
        <v>#DIV/0!</v>
      </c>
      <c r="AB91" s="181" t="e">
        <f t="shared" si="14"/>
        <v>#DIV/0!</v>
      </c>
    </row>
    <row r="92" spans="2:28" ht="33" customHeight="1">
      <c r="B92" s="326">
        <v>84</v>
      </c>
      <c r="C92" s="332"/>
      <c r="D92" s="314"/>
      <c r="E92" s="315"/>
      <c r="F92" s="315"/>
      <c r="G92" s="333"/>
      <c r="H92" s="329"/>
      <c r="I92" s="330"/>
      <c r="J92" s="318"/>
      <c r="K92" s="325">
        <v>4</v>
      </c>
      <c r="L92" s="333"/>
      <c r="M92" s="314"/>
      <c r="N92" s="322"/>
      <c r="O92" s="186">
        <v>1.1000000000000001</v>
      </c>
      <c r="P92" s="188">
        <v>700</v>
      </c>
      <c r="Q92" s="335"/>
      <c r="R92" s="158" t="e">
        <f t="shared" si="9"/>
        <v>#DIV/0!</v>
      </c>
      <c r="S92" s="159">
        <f t="shared" si="10"/>
        <v>0</v>
      </c>
      <c r="T92" s="173" t="e">
        <f t="shared" si="11"/>
        <v>#DIV/0!</v>
      </c>
      <c r="U92" s="174">
        <f>J92*'HR       '!$L$12</f>
        <v>0</v>
      </c>
      <c r="V92" s="175" t="e">
        <f>(Y92*('HR       '!$E$9/60))+(('HR       '!$E$7/60)*Z92)+(((P92-450)/1000)*'HR       '!$E$10*Z92)</f>
        <v>#DIV/0!</v>
      </c>
      <c r="W92" s="176"/>
      <c r="X92" s="160">
        <f t="shared" si="12"/>
        <v>0</v>
      </c>
      <c r="Y92" s="160">
        <f t="shared" si="13"/>
        <v>0</v>
      </c>
      <c r="Z92" s="179" t="e">
        <f>((H92+((('HR       '!$E$5*'HR       '!$E$6))*G92)+(F92*5))*I92)/L92</f>
        <v>#DIV/0!</v>
      </c>
      <c r="AA92" s="177" t="e">
        <f t="shared" si="15"/>
        <v>#DIV/0!</v>
      </c>
      <c r="AB92" s="181" t="e">
        <f t="shared" si="14"/>
        <v>#DIV/0!</v>
      </c>
    </row>
    <row r="93" spans="2:28" ht="33" customHeight="1">
      <c r="B93" s="326">
        <v>85</v>
      </c>
      <c r="C93" s="332"/>
      <c r="D93" s="314"/>
      <c r="E93" s="315"/>
      <c r="F93" s="315"/>
      <c r="G93" s="333"/>
      <c r="H93" s="329"/>
      <c r="I93" s="330"/>
      <c r="J93" s="318"/>
      <c r="K93" s="325">
        <v>4</v>
      </c>
      <c r="L93" s="333"/>
      <c r="M93" s="314"/>
      <c r="N93" s="322"/>
      <c r="O93" s="186">
        <v>1.1000000000000001</v>
      </c>
      <c r="P93" s="188">
        <v>700</v>
      </c>
      <c r="Q93" s="335"/>
      <c r="R93" s="158" t="e">
        <f t="shared" si="9"/>
        <v>#DIV/0!</v>
      </c>
      <c r="S93" s="159">
        <f t="shared" si="10"/>
        <v>0</v>
      </c>
      <c r="T93" s="173" t="e">
        <f t="shared" si="11"/>
        <v>#DIV/0!</v>
      </c>
      <c r="U93" s="174">
        <f>J93*'HR       '!$L$12</f>
        <v>0</v>
      </c>
      <c r="V93" s="175" t="e">
        <f>(Y93*('HR       '!$E$9/60))+(('HR       '!$E$7/60)*Z93)+(((P93-450)/1000)*'HR       '!$E$10*Z93)</f>
        <v>#DIV/0!</v>
      </c>
      <c r="W93" s="176"/>
      <c r="X93" s="160">
        <f t="shared" si="12"/>
        <v>0</v>
      </c>
      <c r="Y93" s="160">
        <f t="shared" si="13"/>
        <v>0</v>
      </c>
      <c r="Z93" s="179" t="e">
        <f>((H93+((('HR       '!$E$5*'HR       '!$E$6))*G93)+(F93*5))*I93)/L93</f>
        <v>#DIV/0!</v>
      </c>
      <c r="AA93" s="177" t="e">
        <f t="shared" si="15"/>
        <v>#DIV/0!</v>
      </c>
      <c r="AB93" s="181" t="e">
        <f t="shared" si="14"/>
        <v>#DIV/0!</v>
      </c>
    </row>
    <row r="94" spans="2:28" ht="33" customHeight="1">
      <c r="B94" s="326">
        <v>86</v>
      </c>
      <c r="C94" s="332"/>
      <c r="D94" s="314"/>
      <c r="E94" s="315"/>
      <c r="F94" s="315"/>
      <c r="G94" s="333"/>
      <c r="H94" s="329"/>
      <c r="I94" s="330"/>
      <c r="J94" s="318"/>
      <c r="K94" s="325">
        <v>4</v>
      </c>
      <c r="L94" s="333"/>
      <c r="M94" s="314"/>
      <c r="N94" s="322"/>
      <c r="O94" s="186">
        <v>1.1000000000000001</v>
      </c>
      <c r="P94" s="188">
        <v>700</v>
      </c>
      <c r="Q94" s="335"/>
      <c r="R94" s="158" t="e">
        <f t="shared" si="9"/>
        <v>#DIV/0!</v>
      </c>
      <c r="S94" s="159">
        <f t="shared" si="10"/>
        <v>0</v>
      </c>
      <c r="T94" s="173" t="e">
        <f t="shared" si="11"/>
        <v>#DIV/0!</v>
      </c>
      <c r="U94" s="174">
        <f>J94*'HR       '!$L$12</f>
        <v>0</v>
      </c>
      <c r="V94" s="175" t="e">
        <f>(Y94*('HR       '!$E$9/60))+(('HR       '!$E$7/60)*Z94)+(((P94-450)/1000)*'HR       '!$E$10*Z94)</f>
        <v>#DIV/0!</v>
      </c>
      <c r="W94" s="176"/>
      <c r="X94" s="160">
        <f t="shared" si="12"/>
        <v>0</v>
      </c>
      <c r="Y94" s="160">
        <f t="shared" si="13"/>
        <v>0</v>
      </c>
      <c r="Z94" s="179" t="e">
        <f>((H94+((('HR       '!$E$5*'HR       '!$E$6))*G94)+(F94*5))*I94)/L94</f>
        <v>#DIV/0!</v>
      </c>
      <c r="AA94" s="177" t="e">
        <f t="shared" si="15"/>
        <v>#DIV/0!</v>
      </c>
      <c r="AB94" s="181" t="e">
        <f t="shared" si="14"/>
        <v>#DIV/0!</v>
      </c>
    </row>
    <row r="95" spans="2:28" ht="33" customHeight="1">
      <c r="B95" s="326">
        <v>87</v>
      </c>
      <c r="C95" s="332"/>
      <c r="D95" s="314"/>
      <c r="E95" s="315"/>
      <c r="F95" s="315"/>
      <c r="G95" s="333"/>
      <c r="H95" s="329"/>
      <c r="I95" s="330"/>
      <c r="J95" s="318"/>
      <c r="K95" s="325">
        <v>4</v>
      </c>
      <c r="L95" s="333"/>
      <c r="M95" s="314"/>
      <c r="N95" s="322"/>
      <c r="O95" s="186">
        <v>1.1000000000000001</v>
      </c>
      <c r="P95" s="188">
        <v>700</v>
      </c>
      <c r="Q95" s="335"/>
      <c r="R95" s="158" t="e">
        <f t="shared" si="9"/>
        <v>#DIV/0!</v>
      </c>
      <c r="S95" s="159">
        <f t="shared" si="10"/>
        <v>0</v>
      </c>
      <c r="T95" s="173" t="e">
        <f t="shared" si="11"/>
        <v>#DIV/0!</v>
      </c>
      <c r="U95" s="174">
        <f>J95*'HR       '!$L$12</f>
        <v>0</v>
      </c>
      <c r="V95" s="175" t="e">
        <f>(Y95*('HR       '!$E$9/60))+(('HR       '!$E$7/60)*Z95)+(((P95-450)/1000)*'HR       '!$E$10*Z95)</f>
        <v>#DIV/0!</v>
      </c>
      <c r="W95" s="176"/>
      <c r="X95" s="160">
        <f t="shared" si="12"/>
        <v>0</v>
      </c>
      <c r="Y95" s="160">
        <f t="shared" si="13"/>
        <v>0</v>
      </c>
      <c r="Z95" s="179" t="e">
        <f>((H95+((('HR       '!$E$5*'HR       '!$E$6))*G95)+(F95*5))*I95)/L95</f>
        <v>#DIV/0!</v>
      </c>
      <c r="AA95" s="177" t="e">
        <f t="shared" si="15"/>
        <v>#DIV/0!</v>
      </c>
      <c r="AB95" s="181" t="e">
        <f t="shared" si="14"/>
        <v>#DIV/0!</v>
      </c>
    </row>
    <row r="96" spans="2:28" ht="33" customHeight="1">
      <c r="B96" s="326">
        <v>88</v>
      </c>
      <c r="C96" s="332"/>
      <c r="D96" s="314"/>
      <c r="E96" s="315"/>
      <c r="F96" s="315"/>
      <c r="G96" s="333"/>
      <c r="H96" s="329"/>
      <c r="I96" s="330"/>
      <c r="J96" s="318"/>
      <c r="K96" s="325">
        <v>4</v>
      </c>
      <c r="L96" s="333"/>
      <c r="M96" s="314"/>
      <c r="N96" s="322"/>
      <c r="O96" s="186">
        <v>1.1000000000000001</v>
      </c>
      <c r="P96" s="188">
        <v>700</v>
      </c>
      <c r="Q96" s="335"/>
      <c r="R96" s="158" t="e">
        <f t="shared" si="9"/>
        <v>#DIV/0!</v>
      </c>
      <c r="S96" s="159">
        <f t="shared" si="10"/>
        <v>0</v>
      </c>
      <c r="T96" s="173" t="e">
        <f t="shared" si="11"/>
        <v>#DIV/0!</v>
      </c>
      <c r="U96" s="174">
        <f>J96*'HR       '!$L$12</f>
        <v>0</v>
      </c>
      <c r="V96" s="175" t="e">
        <f>(Y96*('HR       '!$E$9/60))+(('HR       '!$E$7/60)*Z96)+(((P96-450)/1000)*'HR       '!$E$10*Z96)</f>
        <v>#DIV/0!</v>
      </c>
      <c r="W96" s="176"/>
      <c r="X96" s="160">
        <f t="shared" si="12"/>
        <v>0</v>
      </c>
      <c r="Y96" s="160">
        <f t="shared" si="13"/>
        <v>0</v>
      </c>
      <c r="Z96" s="179" t="e">
        <f>((H96+((('HR       '!$E$5*'HR       '!$E$6))*G96)+(F96*5))*I96)/L96</f>
        <v>#DIV/0!</v>
      </c>
      <c r="AA96" s="177" t="e">
        <f t="shared" si="15"/>
        <v>#DIV/0!</v>
      </c>
      <c r="AB96" s="181" t="e">
        <f t="shared" si="14"/>
        <v>#DIV/0!</v>
      </c>
    </row>
    <row r="97" spans="2:28" ht="33" customHeight="1">
      <c r="B97" s="326">
        <v>89</v>
      </c>
      <c r="C97" s="332"/>
      <c r="D97" s="314"/>
      <c r="E97" s="315"/>
      <c r="F97" s="315"/>
      <c r="G97" s="333"/>
      <c r="H97" s="329"/>
      <c r="I97" s="330"/>
      <c r="J97" s="318"/>
      <c r="K97" s="325">
        <v>4</v>
      </c>
      <c r="L97" s="333"/>
      <c r="M97" s="314"/>
      <c r="N97" s="322"/>
      <c r="O97" s="186">
        <v>1.1000000000000001</v>
      </c>
      <c r="P97" s="188">
        <v>700</v>
      </c>
      <c r="Q97" s="335"/>
      <c r="R97" s="158" t="e">
        <f t="shared" si="9"/>
        <v>#DIV/0!</v>
      </c>
      <c r="S97" s="159">
        <f t="shared" si="10"/>
        <v>0</v>
      </c>
      <c r="T97" s="173" t="e">
        <f t="shared" si="11"/>
        <v>#DIV/0!</v>
      </c>
      <c r="U97" s="174">
        <f>J97*'HR       '!$L$12</f>
        <v>0</v>
      </c>
      <c r="V97" s="175" t="e">
        <f>(Y97*('HR       '!$E$9/60))+(('HR       '!$E$7/60)*Z97)+(((P97-450)/1000)*'HR       '!$E$10*Z97)</f>
        <v>#DIV/0!</v>
      </c>
      <c r="W97" s="176"/>
      <c r="X97" s="160">
        <f t="shared" si="12"/>
        <v>0</v>
      </c>
      <c r="Y97" s="160">
        <f t="shared" si="13"/>
        <v>0</v>
      </c>
      <c r="Z97" s="179" t="e">
        <f>((H97+((('HR       '!$E$5*'HR       '!$E$6))*G97)+(F97*5))*I97)/L97</f>
        <v>#DIV/0!</v>
      </c>
      <c r="AA97" s="177" t="e">
        <f t="shared" si="15"/>
        <v>#DIV/0!</v>
      </c>
      <c r="AB97" s="181" t="e">
        <f t="shared" si="14"/>
        <v>#DIV/0!</v>
      </c>
    </row>
    <row r="98" spans="2:28" ht="33" customHeight="1">
      <c r="B98" s="326">
        <v>90</v>
      </c>
      <c r="C98" s="332"/>
      <c r="D98" s="314"/>
      <c r="E98" s="315"/>
      <c r="F98" s="315"/>
      <c r="G98" s="333"/>
      <c r="H98" s="329"/>
      <c r="I98" s="330"/>
      <c r="J98" s="318"/>
      <c r="K98" s="325">
        <v>4</v>
      </c>
      <c r="L98" s="333"/>
      <c r="M98" s="314"/>
      <c r="N98" s="322"/>
      <c r="O98" s="186">
        <v>1.1000000000000001</v>
      </c>
      <c r="P98" s="188">
        <v>700</v>
      </c>
      <c r="Q98" s="335"/>
      <c r="R98" s="158" t="e">
        <f t="shared" si="9"/>
        <v>#DIV/0!</v>
      </c>
      <c r="S98" s="159">
        <f t="shared" si="10"/>
        <v>0</v>
      </c>
      <c r="T98" s="173" t="e">
        <f t="shared" si="11"/>
        <v>#DIV/0!</v>
      </c>
      <c r="U98" s="174">
        <f>J98*'HR       '!$L$12</f>
        <v>0</v>
      </c>
      <c r="V98" s="175" t="e">
        <f>(Y98*('HR       '!$E$9/60))+(('HR       '!$E$7/60)*Z98)+(((P98-450)/1000)*'HR       '!$E$10*Z98)</f>
        <v>#DIV/0!</v>
      </c>
      <c r="W98" s="176"/>
      <c r="X98" s="160">
        <f t="shared" si="12"/>
        <v>0</v>
      </c>
      <c r="Y98" s="160">
        <f t="shared" si="13"/>
        <v>0</v>
      </c>
      <c r="Z98" s="179" t="e">
        <f>((H98+((('HR       '!$E$5*'HR       '!$E$6))*G98)+(F98*5))*I98)/L98</f>
        <v>#DIV/0!</v>
      </c>
      <c r="AA98" s="177" t="e">
        <f t="shared" si="15"/>
        <v>#DIV/0!</v>
      </c>
      <c r="AB98" s="181" t="e">
        <f t="shared" si="14"/>
        <v>#DIV/0!</v>
      </c>
    </row>
    <row r="99" spans="2:28" ht="33" customHeight="1">
      <c r="B99" s="326">
        <v>91</v>
      </c>
      <c r="C99" s="332"/>
      <c r="D99" s="314"/>
      <c r="E99" s="315"/>
      <c r="F99" s="315"/>
      <c r="G99" s="333"/>
      <c r="H99" s="329"/>
      <c r="I99" s="330"/>
      <c r="J99" s="318"/>
      <c r="K99" s="325">
        <v>4</v>
      </c>
      <c r="L99" s="333"/>
      <c r="M99" s="314"/>
      <c r="N99" s="322"/>
      <c r="O99" s="186">
        <v>1.1000000000000001</v>
      </c>
      <c r="P99" s="188">
        <v>700</v>
      </c>
      <c r="Q99" s="335"/>
      <c r="R99" s="158" t="e">
        <f t="shared" si="9"/>
        <v>#DIV/0!</v>
      </c>
      <c r="S99" s="159">
        <f t="shared" si="10"/>
        <v>0</v>
      </c>
      <c r="T99" s="173" t="e">
        <f t="shared" si="11"/>
        <v>#DIV/0!</v>
      </c>
      <c r="U99" s="174">
        <f>J99*'HR       '!$L$12</f>
        <v>0</v>
      </c>
      <c r="V99" s="175" t="e">
        <f>(Y99*('HR       '!$E$9/60))+(('HR       '!$E$7/60)*Z99)+(((P99-450)/1000)*'HR       '!$E$10*Z99)</f>
        <v>#DIV/0!</v>
      </c>
      <c r="W99" s="176"/>
      <c r="X99" s="160">
        <f t="shared" si="12"/>
        <v>0</v>
      </c>
      <c r="Y99" s="160">
        <f t="shared" si="13"/>
        <v>0</v>
      </c>
      <c r="Z99" s="179" t="e">
        <f>((H99+((('HR       '!$E$5*'HR       '!$E$6))*G99)+(F99*5))*I99)/L99</f>
        <v>#DIV/0!</v>
      </c>
      <c r="AA99" s="177" t="e">
        <f t="shared" si="15"/>
        <v>#DIV/0!</v>
      </c>
      <c r="AB99" s="181" t="e">
        <f t="shared" si="14"/>
        <v>#DIV/0!</v>
      </c>
    </row>
    <row r="100" spans="2:28" ht="33" customHeight="1">
      <c r="B100" s="326">
        <v>92</v>
      </c>
      <c r="C100" s="332"/>
      <c r="D100" s="314"/>
      <c r="E100" s="315"/>
      <c r="F100" s="315"/>
      <c r="G100" s="333"/>
      <c r="H100" s="329"/>
      <c r="I100" s="330"/>
      <c r="J100" s="318"/>
      <c r="K100" s="325">
        <v>4</v>
      </c>
      <c r="L100" s="333"/>
      <c r="M100" s="314"/>
      <c r="N100" s="322"/>
      <c r="O100" s="186">
        <v>1.1000000000000001</v>
      </c>
      <c r="P100" s="188">
        <v>700</v>
      </c>
      <c r="Q100" s="335"/>
      <c r="R100" s="158" t="e">
        <f t="shared" si="9"/>
        <v>#DIV/0!</v>
      </c>
      <c r="S100" s="159">
        <f t="shared" si="10"/>
        <v>0</v>
      </c>
      <c r="T100" s="173" t="e">
        <f t="shared" si="11"/>
        <v>#DIV/0!</v>
      </c>
      <c r="U100" s="174">
        <f>J100*'HR       '!$L$12</f>
        <v>0</v>
      </c>
      <c r="V100" s="175" t="e">
        <f>(Y100*('HR       '!$E$9/60))+(('HR       '!$E$7/60)*Z100)+(((P100-450)/1000)*'HR       '!$E$10*Z100)</f>
        <v>#DIV/0!</v>
      </c>
      <c r="W100" s="176"/>
      <c r="X100" s="160">
        <f t="shared" si="12"/>
        <v>0</v>
      </c>
      <c r="Y100" s="160">
        <f t="shared" si="13"/>
        <v>0</v>
      </c>
      <c r="Z100" s="179" t="e">
        <f>((H100+((('HR       '!$E$5*'HR       '!$E$6))*G100)+(F100*5))*I100)/L100</f>
        <v>#DIV/0!</v>
      </c>
      <c r="AA100" s="177" t="e">
        <f t="shared" si="15"/>
        <v>#DIV/0!</v>
      </c>
      <c r="AB100" s="181" t="e">
        <f t="shared" si="14"/>
        <v>#DIV/0!</v>
      </c>
    </row>
    <row r="101" spans="2:28" ht="33" customHeight="1">
      <c r="B101" s="326">
        <v>93</v>
      </c>
      <c r="C101" s="332"/>
      <c r="D101" s="314"/>
      <c r="E101" s="315"/>
      <c r="F101" s="315"/>
      <c r="G101" s="333"/>
      <c r="H101" s="329"/>
      <c r="I101" s="330"/>
      <c r="J101" s="318"/>
      <c r="K101" s="325">
        <v>4</v>
      </c>
      <c r="L101" s="333"/>
      <c r="M101" s="314"/>
      <c r="N101" s="322"/>
      <c r="O101" s="186">
        <v>1.1000000000000001</v>
      </c>
      <c r="P101" s="188">
        <v>700</v>
      </c>
      <c r="Q101" s="335"/>
      <c r="R101" s="158" t="e">
        <f t="shared" ref="R101:R111" si="16">ROUNDUP((T101/S101),0)</f>
        <v>#DIV/0!</v>
      </c>
      <c r="S101" s="159">
        <f t="shared" ref="S101:S111" si="17">I101</f>
        <v>0</v>
      </c>
      <c r="T101" s="173" t="e">
        <f t="shared" ref="T101:T111" si="18">ROUNDUP((V101+U101),0)</f>
        <v>#DIV/0!</v>
      </c>
      <c r="U101" s="174">
        <f>J101*'HR       '!$L$12</f>
        <v>0</v>
      </c>
      <c r="V101" s="175" t="e">
        <f>(Y101*('HR       '!$E$9/60))+(('HR       '!$E$7/60)*Z101)+(((P101-450)/1000)*'HR       '!$E$10*Z101)</f>
        <v>#DIV/0!</v>
      </c>
      <c r="W101" s="176"/>
      <c r="X101" s="160">
        <f t="shared" ref="X101:X111" si="19">J101</f>
        <v>0</v>
      </c>
      <c r="Y101" s="160">
        <f t="shared" ref="Y101:Y111" si="20">(G101*K101*I101)/60</f>
        <v>0</v>
      </c>
      <c r="Z101" s="179" t="e">
        <f>((H101+((('HR       '!$E$5*'HR       '!$E$6))*G101)+(F101*5))*I101)/L101</f>
        <v>#DIV/0!</v>
      </c>
      <c r="AA101" s="177" t="e">
        <f t="shared" si="15"/>
        <v>#DIV/0!</v>
      </c>
      <c r="AB101" s="181" t="e">
        <f t="shared" ref="AB101:AB111" si="21">ROUNDUP(((R101/H101)*1000),0)</f>
        <v>#DIV/0!</v>
      </c>
    </row>
    <row r="102" spans="2:28" ht="33" customHeight="1">
      <c r="B102" s="326">
        <v>94</v>
      </c>
      <c r="C102" s="332"/>
      <c r="D102" s="314"/>
      <c r="E102" s="315"/>
      <c r="F102" s="315"/>
      <c r="G102" s="333"/>
      <c r="H102" s="329"/>
      <c r="I102" s="330"/>
      <c r="J102" s="318"/>
      <c r="K102" s="325">
        <v>4</v>
      </c>
      <c r="L102" s="333"/>
      <c r="M102" s="314"/>
      <c r="N102" s="322"/>
      <c r="O102" s="186">
        <v>1.1000000000000001</v>
      </c>
      <c r="P102" s="188">
        <v>700</v>
      </c>
      <c r="Q102" s="335"/>
      <c r="R102" s="158" t="e">
        <f t="shared" si="16"/>
        <v>#DIV/0!</v>
      </c>
      <c r="S102" s="159">
        <f t="shared" si="17"/>
        <v>0</v>
      </c>
      <c r="T102" s="173" t="e">
        <f t="shared" si="18"/>
        <v>#DIV/0!</v>
      </c>
      <c r="U102" s="174">
        <f>J102*'HR       '!$L$12</f>
        <v>0</v>
      </c>
      <c r="V102" s="175" t="e">
        <f>(Y102*('HR       '!$E$9/60))+(('HR       '!$E$7/60)*Z102)+(((P102-450)/1000)*'HR       '!$E$10*Z102)</f>
        <v>#DIV/0!</v>
      </c>
      <c r="W102" s="176"/>
      <c r="X102" s="160">
        <f t="shared" si="19"/>
        <v>0</v>
      </c>
      <c r="Y102" s="160">
        <f t="shared" si="20"/>
        <v>0</v>
      </c>
      <c r="Z102" s="179" t="e">
        <f>((H102+((('HR       '!$E$5*'HR       '!$E$6))*G102)+(F102*5))*I102)/L102</f>
        <v>#DIV/0!</v>
      </c>
      <c r="AA102" s="177" t="e">
        <f t="shared" si="15"/>
        <v>#DIV/0!</v>
      </c>
      <c r="AB102" s="181" t="e">
        <f t="shared" si="21"/>
        <v>#DIV/0!</v>
      </c>
    </row>
    <row r="103" spans="2:28" ht="33" customHeight="1">
      <c r="B103" s="326">
        <v>95</v>
      </c>
      <c r="C103" s="332"/>
      <c r="D103" s="314"/>
      <c r="E103" s="315"/>
      <c r="F103" s="315"/>
      <c r="G103" s="333"/>
      <c r="H103" s="329"/>
      <c r="I103" s="330"/>
      <c r="J103" s="318"/>
      <c r="K103" s="325">
        <v>4</v>
      </c>
      <c r="L103" s="333"/>
      <c r="M103" s="314"/>
      <c r="N103" s="322"/>
      <c r="O103" s="186">
        <v>1.1000000000000001</v>
      </c>
      <c r="P103" s="188">
        <v>700</v>
      </c>
      <c r="Q103" s="335"/>
      <c r="R103" s="158" t="e">
        <f t="shared" si="16"/>
        <v>#DIV/0!</v>
      </c>
      <c r="S103" s="159">
        <f t="shared" si="17"/>
        <v>0</v>
      </c>
      <c r="T103" s="173" t="e">
        <f t="shared" si="18"/>
        <v>#DIV/0!</v>
      </c>
      <c r="U103" s="174">
        <f>J103*'HR       '!$L$12</f>
        <v>0</v>
      </c>
      <c r="V103" s="175" t="e">
        <f>(Y103*('HR       '!$E$9/60))+(('HR       '!$E$7/60)*Z103)+(((P103-450)/1000)*'HR       '!$E$10*Z103)</f>
        <v>#DIV/0!</v>
      </c>
      <c r="W103" s="176"/>
      <c r="X103" s="160">
        <f t="shared" si="19"/>
        <v>0</v>
      </c>
      <c r="Y103" s="160">
        <f t="shared" si="20"/>
        <v>0</v>
      </c>
      <c r="Z103" s="179" t="e">
        <f>((H103+((('HR       '!$E$5*'HR       '!$E$6))*G103)+(F103*5))*I103)/L103</f>
        <v>#DIV/0!</v>
      </c>
      <c r="AA103" s="177" t="e">
        <f t="shared" si="15"/>
        <v>#DIV/0!</v>
      </c>
      <c r="AB103" s="181" t="e">
        <f t="shared" si="21"/>
        <v>#DIV/0!</v>
      </c>
    </row>
    <row r="104" spans="2:28" ht="33" customHeight="1">
      <c r="B104" s="326">
        <v>96</v>
      </c>
      <c r="C104" s="332"/>
      <c r="D104" s="314"/>
      <c r="E104" s="315"/>
      <c r="F104" s="315"/>
      <c r="G104" s="333"/>
      <c r="H104" s="329"/>
      <c r="I104" s="330"/>
      <c r="J104" s="318"/>
      <c r="K104" s="325">
        <v>4</v>
      </c>
      <c r="L104" s="333"/>
      <c r="M104" s="314"/>
      <c r="N104" s="322"/>
      <c r="O104" s="186">
        <v>1.1000000000000001</v>
      </c>
      <c r="P104" s="188">
        <v>700</v>
      </c>
      <c r="Q104" s="335"/>
      <c r="R104" s="158" t="e">
        <f t="shared" si="16"/>
        <v>#DIV/0!</v>
      </c>
      <c r="S104" s="159">
        <f t="shared" si="17"/>
        <v>0</v>
      </c>
      <c r="T104" s="173" t="e">
        <f t="shared" si="18"/>
        <v>#DIV/0!</v>
      </c>
      <c r="U104" s="174">
        <f>J104*'HR       '!$L$12</f>
        <v>0</v>
      </c>
      <c r="V104" s="175" t="e">
        <f>(Y104*('HR       '!$E$9/60))+(('HR       '!$E$7/60)*Z104)+(((P104-450)/1000)*'HR       '!$E$10*Z104)</f>
        <v>#DIV/0!</v>
      </c>
      <c r="W104" s="176"/>
      <c r="X104" s="160">
        <f t="shared" si="19"/>
        <v>0</v>
      </c>
      <c r="Y104" s="160">
        <f t="shared" si="20"/>
        <v>0</v>
      </c>
      <c r="Z104" s="179" t="e">
        <f>((H104+((('HR       '!$E$5*'HR       '!$E$6))*G104)+(F104*5))*I104)/L104</f>
        <v>#DIV/0!</v>
      </c>
      <c r="AA104" s="177" t="e">
        <f t="shared" si="15"/>
        <v>#DIV/0!</v>
      </c>
      <c r="AB104" s="181" t="e">
        <f t="shared" si="21"/>
        <v>#DIV/0!</v>
      </c>
    </row>
    <row r="105" spans="2:28" ht="33" customHeight="1">
      <c r="B105" s="326">
        <v>97</v>
      </c>
      <c r="C105" s="332"/>
      <c r="D105" s="314"/>
      <c r="E105" s="315"/>
      <c r="F105" s="315"/>
      <c r="G105" s="333"/>
      <c r="H105" s="329"/>
      <c r="I105" s="330"/>
      <c r="J105" s="318"/>
      <c r="K105" s="325">
        <v>4</v>
      </c>
      <c r="L105" s="333"/>
      <c r="M105" s="314"/>
      <c r="N105" s="322"/>
      <c r="O105" s="186">
        <v>1.1000000000000001</v>
      </c>
      <c r="P105" s="188">
        <v>700</v>
      </c>
      <c r="Q105" s="335"/>
      <c r="R105" s="158" t="e">
        <f t="shared" si="16"/>
        <v>#DIV/0!</v>
      </c>
      <c r="S105" s="159">
        <f t="shared" si="17"/>
        <v>0</v>
      </c>
      <c r="T105" s="173" t="e">
        <f t="shared" si="18"/>
        <v>#DIV/0!</v>
      </c>
      <c r="U105" s="174">
        <f>J105*'HR       '!$L$12</f>
        <v>0</v>
      </c>
      <c r="V105" s="175" t="e">
        <f>(Y105*('HR       '!$E$9/60))+(('HR       '!$E$7/60)*Z105)+(((P105-450)/1000)*'HR       '!$E$10*Z105)</f>
        <v>#DIV/0!</v>
      </c>
      <c r="W105" s="176"/>
      <c r="X105" s="160">
        <f t="shared" si="19"/>
        <v>0</v>
      </c>
      <c r="Y105" s="160">
        <f t="shared" si="20"/>
        <v>0</v>
      </c>
      <c r="Z105" s="179" t="e">
        <f>((H105+((('HR       '!$E$5*'HR       '!$E$6))*G105)+(F105*5))*I105)/L105</f>
        <v>#DIV/0!</v>
      </c>
      <c r="AA105" s="177" t="e">
        <f t="shared" si="15"/>
        <v>#DIV/0!</v>
      </c>
      <c r="AB105" s="181" t="e">
        <f t="shared" si="21"/>
        <v>#DIV/0!</v>
      </c>
    </row>
    <row r="106" spans="2:28" ht="33" customHeight="1">
      <c r="B106" s="326">
        <v>98</v>
      </c>
      <c r="C106" s="332"/>
      <c r="D106" s="314"/>
      <c r="E106" s="315"/>
      <c r="F106" s="315"/>
      <c r="G106" s="333"/>
      <c r="H106" s="329"/>
      <c r="I106" s="330"/>
      <c r="J106" s="318"/>
      <c r="K106" s="325">
        <v>4</v>
      </c>
      <c r="L106" s="333"/>
      <c r="M106" s="314"/>
      <c r="N106" s="322"/>
      <c r="O106" s="186">
        <v>1.1000000000000001</v>
      </c>
      <c r="P106" s="188">
        <v>700</v>
      </c>
      <c r="Q106" s="335"/>
      <c r="R106" s="158" t="e">
        <f t="shared" si="16"/>
        <v>#DIV/0!</v>
      </c>
      <c r="S106" s="159">
        <f t="shared" si="17"/>
        <v>0</v>
      </c>
      <c r="T106" s="173" t="e">
        <f t="shared" si="18"/>
        <v>#DIV/0!</v>
      </c>
      <c r="U106" s="174">
        <f>J106*'HR       '!$L$12</f>
        <v>0</v>
      </c>
      <c r="V106" s="175" t="e">
        <f>(Y106*('HR       '!$E$9/60))+(('HR       '!$E$7/60)*Z106)+(((P106-450)/1000)*'HR       '!$E$10*Z106)</f>
        <v>#DIV/0!</v>
      </c>
      <c r="W106" s="176"/>
      <c r="X106" s="160">
        <f t="shared" si="19"/>
        <v>0</v>
      </c>
      <c r="Y106" s="160">
        <f t="shared" si="20"/>
        <v>0</v>
      </c>
      <c r="Z106" s="179" t="e">
        <f>((H106+((('HR       '!$E$5*'HR       '!$E$6))*G106)+(F106*5))*I106)/L106</f>
        <v>#DIV/0!</v>
      </c>
      <c r="AA106" s="177" t="e">
        <f t="shared" si="15"/>
        <v>#DIV/0!</v>
      </c>
      <c r="AB106" s="181" t="e">
        <f t="shared" si="21"/>
        <v>#DIV/0!</v>
      </c>
    </row>
    <row r="107" spans="2:28" ht="33" customHeight="1">
      <c r="B107" s="326">
        <v>99</v>
      </c>
      <c r="C107" s="332"/>
      <c r="D107" s="314"/>
      <c r="E107" s="315"/>
      <c r="F107" s="315"/>
      <c r="G107" s="333"/>
      <c r="H107" s="329"/>
      <c r="I107" s="330"/>
      <c r="J107" s="318"/>
      <c r="K107" s="325">
        <v>4</v>
      </c>
      <c r="L107" s="333"/>
      <c r="M107" s="314"/>
      <c r="N107" s="322"/>
      <c r="O107" s="186">
        <v>1.1000000000000001</v>
      </c>
      <c r="P107" s="188">
        <v>700</v>
      </c>
      <c r="Q107" s="335"/>
      <c r="R107" s="158" t="e">
        <f t="shared" si="16"/>
        <v>#DIV/0!</v>
      </c>
      <c r="S107" s="159">
        <f t="shared" si="17"/>
        <v>0</v>
      </c>
      <c r="T107" s="173" t="e">
        <f t="shared" si="18"/>
        <v>#DIV/0!</v>
      </c>
      <c r="U107" s="174">
        <f>J107*'HR       '!$L$12</f>
        <v>0</v>
      </c>
      <c r="V107" s="175" t="e">
        <f>(Y107*('HR       '!$E$9/60))+(('HR       '!$E$7/60)*Z107)+(((P107-450)/1000)*'HR       '!$E$10*Z107)</f>
        <v>#DIV/0!</v>
      </c>
      <c r="W107" s="176"/>
      <c r="X107" s="160">
        <f t="shared" si="19"/>
        <v>0</v>
      </c>
      <c r="Y107" s="160">
        <f t="shared" si="20"/>
        <v>0</v>
      </c>
      <c r="Z107" s="179" t="e">
        <f>((H107+((('HR       '!$E$5*'HR       '!$E$6))*G107)+(F107*5))*I107)/L107</f>
        <v>#DIV/0!</v>
      </c>
      <c r="AA107" s="177" t="e">
        <f t="shared" si="15"/>
        <v>#DIV/0!</v>
      </c>
      <c r="AB107" s="181" t="e">
        <f t="shared" si="21"/>
        <v>#DIV/0!</v>
      </c>
    </row>
    <row r="108" spans="2:28" ht="33" customHeight="1">
      <c r="B108" s="326">
        <v>100</v>
      </c>
      <c r="C108" s="332"/>
      <c r="D108" s="314"/>
      <c r="E108" s="315"/>
      <c r="F108" s="315"/>
      <c r="G108" s="333"/>
      <c r="H108" s="329"/>
      <c r="I108" s="330"/>
      <c r="J108" s="318"/>
      <c r="K108" s="325">
        <v>4</v>
      </c>
      <c r="L108" s="333"/>
      <c r="M108" s="314"/>
      <c r="N108" s="322"/>
      <c r="O108" s="186">
        <v>1.1000000000000001</v>
      </c>
      <c r="P108" s="188">
        <v>700</v>
      </c>
      <c r="Q108" s="335"/>
      <c r="R108" s="158" t="e">
        <f t="shared" si="16"/>
        <v>#DIV/0!</v>
      </c>
      <c r="S108" s="159">
        <f t="shared" si="17"/>
        <v>0</v>
      </c>
      <c r="T108" s="173" t="e">
        <f t="shared" si="18"/>
        <v>#DIV/0!</v>
      </c>
      <c r="U108" s="174">
        <f>J108*'HR       '!$L$12</f>
        <v>0</v>
      </c>
      <c r="V108" s="175" t="e">
        <f>(Y108*('HR       '!$E$9/60))+(('HR       '!$E$7/60)*Z108)+(((P108-450)/1000)*'HR       '!$E$10*Z108)</f>
        <v>#DIV/0!</v>
      </c>
      <c r="W108" s="176"/>
      <c r="X108" s="160">
        <f t="shared" si="19"/>
        <v>0</v>
      </c>
      <c r="Y108" s="160">
        <f t="shared" si="20"/>
        <v>0</v>
      </c>
      <c r="Z108" s="179" t="e">
        <f>((H108+((('HR       '!$E$5*'HR       '!$E$6))*G108)+(F108*5))*I108)/L108</f>
        <v>#DIV/0!</v>
      </c>
      <c r="AA108" s="177" t="e">
        <f t="shared" si="15"/>
        <v>#DIV/0!</v>
      </c>
      <c r="AB108" s="181" t="e">
        <f t="shared" si="21"/>
        <v>#DIV/0!</v>
      </c>
    </row>
    <row r="109" spans="2:28" ht="33" customHeight="1">
      <c r="B109" s="326">
        <v>101</v>
      </c>
      <c r="C109" s="332"/>
      <c r="D109" s="314"/>
      <c r="E109" s="315"/>
      <c r="F109" s="315"/>
      <c r="G109" s="333"/>
      <c r="H109" s="329"/>
      <c r="I109" s="330"/>
      <c r="J109" s="318"/>
      <c r="K109" s="325">
        <v>4</v>
      </c>
      <c r="L109" s="333"/>
      <c r="M109" s="314"/>
      <c r="N109" s="322"/>
      <c r="O109" s="186">
        <v>1.1000000000000001</v>
      </c>
      <c r="P109" s="188">
        <v>700</v>
      </c>
      <c r="Q109" s="335"/>
      <c r="R109" s="158" t="e">
        <f t="shared" si="16"/>
        <v>#DIV/0!</v>
      </c>
      <c r="S109" s="159">
        <f t="shared" si="17"/>
        <v>0</v>
      </c>
      <c r="T109" s="173" t="e">
        <f t="shared" si="18"/>
        <v>#DIV/0!</v>
      </c>
      <c r="U109" s="174">
        <f>J109*'HR       '!$L$12</f>
        <v>0</v>
      </c>
      <c r="V109" s="175" t="e">
        <f>(Y109*('HR       '!$E$9/60))+(('HR       '!$E$7/60)*Z109)+(((P109-450)/1000)*'HR       '!$E$10*Z109)</f>
        <v>#DIV/0!</v>
      </c>
      <c r="W109" s="176"/>
      <c r="X109" s="160">
        <f t="shared" si="19"/>
        <v>0</v>
      </c>
      <c r="Y109" s="160">
        <f t="shared" si="20"/>
        <v>0</v>
      </c>
      <c r="Z109" s="179" t="e">
        <f>((H109+((('HR       '!$E$5*'HR       '!$E$6))*G109)+(F109*5))*I109)/L109</f>
        <v>#DIV/0!</v>
      </c>
      <c r="AA109" s="177" t="e">
        <f t="shared" si="15"/>
        <v>#DIV/0!</v>
      </c>
      <c r="AB109" s="181" t="e">
        <f t="shared" si="21"/>
        <v>#DIV/0!</v>
      </c>
    </row>
    <row r="110" spans="2:28" ht="33" customHeight="1">
      <c r="B110" s="326">
        <v>102</v>
      </c>
      <c r="C110" s="332"/>
      <c r="D110" s="314"/>
      <c r="E110" s="315"/>
      <c r="F110" s="315"/>
      <c r="G110" s="333"/>
      <c r="H110" s="329"/>
      <c r="I110" s="330"/>
      <c r="J110" s="318"/>
      <c r="K110" s="325">
        <v>4</v>
      </c>
      <c r="L110" s="333"/>
      <c r="M110" s="314"/>
      <c r="N110" s="322"/>
      <c r="O110" s="186">
        <v>1.1000000000000001</v>
      </c>
      <c r="P110" s="188">
        <v>700</v>
      </c>
      <c r="Q110" s="335"/>
      <c r="R110" s="158" t="e">
        <f t="shared" si="16"/>
        <v>#DIV/0!</v>
      </c>
      <c r="S110" s="159">
        <f t="shared" si="17"/>
        <v>0</v>
      </c>
      <c r="T110" s="173" t="e">
        <f t="shared" si="18"/>
        <v>#DIV/0!</v>
      </c>
      <c r="U110" s="174">
        <f>J110*'HR       '!$L$12</f>
        <v>0</v>
      </c>
      <c r="V110" s="175" t="e">
        <f>(Y110*('HR       '!$E$9/60))+(('HR       '!$E$7/60)*Z110)+(((P110-450)/1000)*'HR       '!$E$10*Z110)</f>
        <v>#DIV/0!</v>
      </c>
      <c r="W110" s="176"/>
      <c r="X110" s="160">
        <f t="shared" si="19"/>
        <v>0</v>
      </c>
      <c r="Y110" s="160">
        <f t="shared" si="20"/>
        <v>0</v>
      </c>
      <c r="Z110" s="179" t="e">
        <f>((H110+((('HR       '!$E$5*'HR       '!$E$6))*G110)+(F110*5))*I110)/L110</f>
        <v>#DIV/0!</v>
      </c>
      <c r="AA110" s="177" t="e">
        <f t="shared" si="15"/>
        <v>#DIV/0!</v>
      </c>
      <c r="AB110" s="181" t="e">
        <f t="shared" si="21"/>
        <v>#DIV/0!</v>
      </c>
    </row>
    <row r="111" spans="2:28" ht="33" customHeight="1">
      <c r="B111" s="326">
        <v>103</v>
      </c>
      <c r="C111" s="332"/>
      <c r="D111" s="314"/>
      <c r="E111" s="315"/>
      <c r="F111" s="315"/>
      <c r="G111" s="333"/>
      <c r="H111" s="329"/>
      <c r="I111" s="330"/>
      <c r="J111" s="318"/>
      <c r="K111" s="325">
        <v>4</v>
      </c>
      <c r="L111" s="333"/>
      <c r="M111" s="314"/>
      <c r="N111" s="322"/>
      <c r="O111" s="186">
        <v>1.1000000000000001</v>
      </c>
      <c r="P111" s="188">
        <v>700</v>
      </c>
      <c r="Q111" s="335"/>
      <c r="R111" s="158" t="e">
        <f t="shared" si="16"/>
        <v>#DIV/0!</v>
      </c>
      <c r="S111" s="159">
        <f t="shared" si="17"/>
        <v>0</v>
      </c>
      <c r="T111" s="173" t="e">
        <f t="shared" si="18"/>
        <v>#DIV/0!</v>
      </c>
      <c r="U111" s="174">
        <f>J111*'HR       '!$L$12</f>
        <v>0</v>
      </c>
      <c r="V111" s="175" t="e">
        <f>(Y111*('HR       '!$E$9/60))+(('HR       '!$E$7/60)*Z111)+(((P111-450)/1000)*'HR       '!$E$10*Z111)</f>
        <v>#DIV/0!</v>
      </c>
      <c r="W111" s="176"/>
      <c r="X111" s="160">
        <f t="shared" si="19"/>
        <v>0</v>
      </c>
      <c r="Y111" s="160">
        <f t="shared" si="20"/>
        <v>0</v>
      </c>
      <c r="Z111" s="179" t="e">
        <f>((H111+((('HR       '!$E$5*'HR       '!$E$6))*G111)+(F111*5))*I111)/L111</f>
        <v>#DIV/0!</v>
      </c>
      <c r="AA111" s="177" t="e">
        <f t="shared" si="15"/>
        <v>#DIV/0!</v>
      </c>
      <c r="AB111" s="181" t="e">
        <f t="shared" si="21"/>
        <v>#DIV/0!</v>
      </c>
    </row>
    <row r="122" spans="10:14" ht="15" thickBot="1"/>
    <row r="123" spans="10:14" ht="62">
      <c r="J123" s="92" t="s">
        <v>35</v>
      </c>
      <c r="N123" s="23" t="s">
        <v>40</v>
      </c>
    </row>
    <row r="124" spans="10:14" ht="15.5">
      <c r="J124" s="50" t="s">
        <v>24</v>
      </c>
      <c r="N124" s="50" t="s">
        <v>82</v>
      </c>
    </row>
    <row r="125" spans="10:14" ht="15.5">
      <c r="J125" s="50" t="s">
        <v>29</v>
      </c>
      <c r="N125" s="50" t="s">
        <v>83</v>
      </c>
    </row>
    <row r="126" spans="10:14" ht="15.5">
      <c r="J126" s="50" t="s">
        <v>26</v>
      </c>
      <c r="N126" s="50" t="s">
        <v>84</v>
      </c>
    </row>
    <row r="127" spans="10:14" ht="15.5">
      <c r="J127" s="50" t="s">
        <v>22</v>
      </c>
      <c r="N127" s="50" t="s">
        <v>85</v>
      </c>
    </row>
    <row r="128" spans="10:14" ht="15.5">
      <c r="J128" s="50" t="s">
        <v>27</v>
      </c>
      <c r="N128" s="50" t="s">
        <v>86</v>
      </c>
    </row>
    <row r="129" spans="10:14" ht="15.5">
      <c r="J129" s="50" t="s">
        <v>28</v>
      </c>
      <c r="N129" s="50" t="s">
        <v>87</v>
      </c>
    </row>
    <row r="130" spans="10:14" ht="15.5">
      <c r="J130" s="50" t="s">
        <v>23</v>
      </c>
      <c r="N130" s="50" t="s">
        <v>88</v>
      </c>
    </row>
    <row r="131" spans="10:14" ht="15.5">
      <c r="J131" s="50" t="s">
        <v>31</v>
      </c>
    </row>
    <row r="132" spans="10:14" ht="15.5">
      <c r="J132" s="50" t="s">
        <v>32</v>
      </c>
    </row>
    <row r="133" spans="10:14" ht="15.5">
      <c r="J133" s="50" t="s">
        <v>33</v>
      </c>
      <c r="N133" s="50"/>
    </row>
    <row r="134" spans="10:14" ht="15.5">
      <c r="J134" s="50" t="s">
        <v>34</v>
      </c>
      <c r="N134" s="50"/>
    </row>
    <row r="135" spans="10:14" ht="15.5">
      <c r="J135" s="50" t="s">
        <v>30</v>
      </c>
      <c r="N135" s="50"/>
    </row>
    <row r="136" spans="10:14" ht="15.5">
      <c r="J136" s="50" t="s">
        <v>25</v>
      </c>
      <c r="N136" s="50"/>
    </row>
  </sheetData>
  <sheetProtection password="C238" sheet="1" objects="1" scenarios="1" selectLockedCells="1"/>
  <mergeCells count="15">
    <mergeCell ref="B1:C1"/>
    <mergeCell ref="B2:C4"/>
    <mergeCell ref="Q14:Q16"/>
    <mergeCell ref="D6:H7"/>
    <mergeCell ref="I6:J7"/>
    <mergeCell ref="N2:R2"/>
    <mergeCell ref="N3:R3"/>
    <mergeCell ref="N4:R4"/>
    <mergeCell ref="S1:AA1"/>
    <mergeCell ref="D5:J5"/>
    <mergeCell ref="K2:M2"/>
    <mergeCell ref="K3:M3"/>
    <mergeCell ref="K4:M4"/>
    <mergeCell ref="D2:J4"/>
    <mergeCell ref="D1:R1"/>
  </mergeCells>
  <phoneticPr fontId="0" type="noConversion"/>
  <dataValidations disablePrompts="1" count="3">
    <dataValidation type="list" allowBlank="1" showInputMessage="1" showErrorMessage="1" sqref="N123" xr:uid="{00000000-0002-0000-0200-000000000000}">
      <formula1>#REF!</formula1>
    </dataValidation>
    <dataValidation type="list" allowBlank="1" showErrorMessage="1" promptTitle="KMT " sqref="N9:N111" xr:uid="{00000000-0002-0000-0200-000001000000}">
      <formula1>$J$124:$J$135</formula1>
    </dataValidation>
    <dataValidation type="list" allowBlank="1" showInputMessage="1" showErrorMessage="1" sqref="M9:M111" xr:uid="{00000000-0002-0000-0200-000002000000}">
      <formula1>$N$124:$N$130</formula1>
    </dataValidation>
  </dataValidations>
  <pageMargins left="1.1023622047244095" right="0.70866141732283472" top="0.74803149606299213" bottom="0.74803149606299213" header="0.31496062992125984" footer="0.31496062992125984"/>
  <pageSetup paperSize="9" scale="116" orientation="portrait" blackAndWhite="1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17"/>
  <sheetViews>
    <sheetView topLeftCell="A19" workbookViewId="0">
      <selection activeCell="A2" sqref="A2:M16"/>
    </sheetView>
  </sheetViews>
  <sheetFormatPr defaultColWidth="9.1796875" defaultRowHeight="14.5"/>
  <cols>
    <col min="1" max="3" width="9.1796875" style="73"/>
    <col min="4" max="4" width="46.81640625" style="73" customWidth="1"/>
    <col min="5" max="5" width="8.453125" style="73" bestFit="1" customWidth="1"/>
    <col min="6" max="6" width="8.7265625" style="73" bestFit="1" customWidth="1"/>
    <col min="7" max="8" width="9.1796875" style="73"/>
    <col min="9" max="9" width="11.453125" style="73" customWidth="1"/>
    <col min="10" max="16384" width="9.1796875" style="73"/>
  </cols>
  <sheetData>
    <row r="1" spans="1:17">
      <c r="O1" s="69"/>
      <c r="P1" s="69"/>
      <c r="Q1" s="69"/>
    </row>
    <row r="2" spans="1:17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O2" s="69"/>
      <c r="P2" s="69"/>
      <c r="Q2" s="69"/>
    </row>
    <row r="3" spans="1:17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O3" s="69"/>
      <c r="P3" s="69"/>
      <c r="Q3" s="69"/>
    </row>
    <row r="4" spans="1:17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O4" s="69"/>
      <c r="P4" s="69"/>
      <c r="Q4" s="69"/>
    </row>
    <row r="5" spans="1:17" s="285" customFormat="1" ht="28.5" customHeight="1">
      <c r="A5" s="97"/>
      <c r="B5" s="97"/>
      <c r="C5" s="97"/>
      <c r="D5" s="94" t="s">
        <v>9</v>
      </c>
      <c r="E5" s="95">
        <v>8</v>
      </c>
      <c r="F5" s="70" t="s">
        <v>1</v>
      </c>
      <c r="G5" s="97" t="s">
        <v>242</v>
      </c>
      <c r="H5" s="97" t="s">
        <v>217</v>
      </c>
      <c r="I5" s="97" t="s">
        <v>218</v>
      </c>
      <c r="J5" s="97"/>
      <c r="K5" s="97"/>
      <c r="L5" s="97"/>
      <c r="M5" s="97"/>
      <c r="O5" s="97"/>
      <c r="P5" s="97"/>
      <c r="Q5" s="97"/>
    </row>
    <row r="6" spans="1:17" ht="48.75" customHeight="1">
      <c r="A6" s="69"/>
      <c r="B6" s="69"/>
      <c r="C6" s="69"/>
      <c r="D6" s="94" t="s">
        <v>15</v>
      </c>
      <c r="E6" s="95">
        <v>2</v>
      </c>
      <c r="F6" s="72" t="s">
        <v>13</v>
      </c>
      <c r="G6" s="97" t="s">
        <v>171</v>
      </c>
      <c r="H6" s="97" t="s">
        <v>171</v>
      </c>
      <c r="I6" s="69" t="s">
        <v>171</v>
      </c>
      <c r="J6" s="69"/>
      <c r="K6" s="69"/>
      <c r="L6" s="69"/>
      <c r="M6" s="69"/>
      <c r="O6" s="69"/>
      <c r="P6" s="69"/>
      <c r="Q6" s="69"/>
    </row>
    <row r="7" spans="1:17" ht="15.75" customHeight="1">
      <c r="A7" s="69"/>
      <c r="B7" s="69"/>
      <c r="C7" s="69"/>
      <c r="D7" s="286" t="s">
        <v>0</v>
      </c>
      <c r="E7" s="72">
        <v>6100</v>
      </c>
      <c r="F7" s="72" t="s">
        <v>7</v>
      </c>
      <c r="G7" s="69">
        <v>5500</v>
      </c>
      <c r="H7" s="69">
        <v>4900</v>
      </c>
      <c r="I7" s="69">
        <v>4400</v>
      </c>
      <c r="J7" s="69"/>
      <c r="K7" s="69"/>
      <c r="L7" s="69"/>
      <c r="M7" s="69"/>
      <c r="O7" s="69"/>
      <c r="P7" s="69"/>
      <c r="Q7" s="69"/>
    </row>
    <row r="8" spans="1:17">
      <c r="A8" s="69"/>
      <c r="B8" s="69"/>
      <c r="C8" s="69"/>
      <c r="D8" s="286" t="s">
        <v>4</v>
      </c>
      <c r="E8" s="96">
        <v>3100</v>
      </c>
      <c r="F8" s="96" t="s">
        <v>7</v>
      </c>
      <c r="G8" s="69">
        <v>2800</v>
      </c>
      <c r="H8" s="69">
        <v>2500</v>
      </c>
      <c r="I8" s="69">
        <v>2400</v>
      </c>
      <c r="J8" s="69"/>
      <c r="K8" s="69"/>
      <c r="L8" s="69"/>
      <c r="M8" s="69"/>
      <c r="O8" s="69"/>
      <c r="P8" s="69"/>
      <c r="Q8" s="69"/>
    </row>
    <row r="9" spans="1:17">
      <c r="A9" s="69"/>
      <c r="B9" s="69"/>
      <c r="C9" s="69"/>
      <c r="D9" s="286" t="s">
        <v>79</v>
      </c>
      <c r="E9" s="96">
        <v>3600</v>
      </c>
      <c r="F9" s="96" t="s">
        <v>7</v>
      </c>
      <c r="G9" s="69">
        <v>3300</v>
      </c>
      <c r="H9" s="69">
        <v>3000</v>
      </c>
      <c r="I9" s="69">
        <v>3300</v>
      </c>
      <c r="J9" s="69"/>
      <c r="K9" s="69"/>
      <c r="L9" s="69"/>
      <c r="M9" s="69"/>
      <c r="O9" s="69"/>
      <c r="P9" s="69"/>
      <c r="Q9" s="69"/>
    </row>
    <row r="10" spans="1:17" ht="30" customHeight="1">
      <c r="A10" s="69"/>
      <c r="B10" s="69"/>
      <c r="C10" s="69"/>
      <c r="D10" s="287" t="s">
        <v>14</v>
      </c>
      <c r="E10" s="103">
        <v>19</v>
      </c>
      <c r="F10" s="96" t="s">
        <v>7</v>
      </c>
      <c r="G10" s="69">
        <v>18.600000000000001</v>
      </c>
      <c r="H10" s="459"/>
      <c r="I10" s="459"/>
      <c r="J10" s="459"/>
      <c r="K10" s="459"/>
      <c r="L10" s="69"/>
      <c r="M10" s="70"/>
      <c r="O10" s="69"/>
      <c r="P10" s="69"/>
      <c r="Q10" s="69"/>
    </row>
    <row r="11" spans="1:17" ht="30" customHeight="1">
      <c r="A11" s="69"/>
      <c r="B11" s="69"/>
      <c r="C11" s="69"/>
      <c r="D11" s="97"/>
      <c r="E11" s="69"/>
      <c r="F11" s="69"/>
      <c r="G11" s="71"/>
      <c r="H11" s="459" t="s">
        <v>3</v>
      </c>
      <c r="I11" s="459"/>
      <c r="J11" s="459"/>
      <c r="K11" s="459"/>
      <c r="L11" s="98">
        <f>'HR       '!E7/60</f>
        <v>101.66666666666667</v>
      </c>
      <c r="M11" s="72" t="s">
        <v>7</v>
      </c>
      <c r="O11" s="69"/>
      <c r="P11" s="69"/>
      <c r="Q11" s="69"/>
    </row>
    <row r="12" spans="1:17" ht="29.15" customHeight="1">
      <c r="A12" s="69"/>
      <c r="B12" s="69"/>
      <c r="C12" s="69"/>
      <c r="D12" s="69"/>
      <c r="E12" s="69"/>
      <c r="F12" s="69"/>
      <c r="G12" s="72"/>
      <c r="H12" s="459" t="s">
        <v>6</v>
      </c>
      <c r="I12" s="459"/>
      <c r="J12" s="459"/>
      <c r="K12" s="459"/>
      <c r="L12" s="99">
        <f>'HR       '!E8/60</f>
        <v>51.666666666666664</v>
      </c>
      <c r="M12" s="72" t="s">
        <v>7</v>
      </c>
      <c r="O12" s="69"/>
      <c r="P12" s="69"/>
      <c r="Q12" s="69"/>
    </row>
    <row r="13" spans="1:17">
      <c r="A13" s="69"/>
      <c r="B13" s="69"/>
      <c r="C13" s="69"/>
      <c r="D13" s="69"/>
      <c r="E13" s="69"/>
      <c r="F13" s="69"/>
      <c r="G13" s="69"/>
      <c r="H13" s="460" t="s">
        <v>106</v>
      </c>
      <c r="I13" s="460"/>
      <c r="J13" s="460"/>
      <c r="K13" s="460"/>
      <c r="L13" s="104">
        <f>E9/60</f>
        <v>60</v>
      </c>
      <c r="M13" s="72" t="s">
        <v>7</v>
      </c>
      <c r="O13" s="69"/>
      <c r="P13" s="69"/>
      <c r="Q13" s="69"/>
    </row>
    <row r="14" spans="1:17">
      <c r="A14" s="69"/>
      <c r="B14" s="69"/>
      <c r="C14" s="69"/>
      <c r="D14" s="69"/>
      <c r="E14" s="69"/>
      <c r="F14" s="69"/>
      <c r="G14" s="70"/>
      <c r="H14" s="69"/>
      <c r="I14" s="69"/>
      <c r="J14" s="69"/>
      <c r="K14" s="69"/>
      <c r="L14" s="69"/>
      <c r="M14" s="69"/>
      <c r="O14" s="69"/>
      <c r="P14" s="69"/>
      <c r="Q14" s="69"/>
    </row>
    <row r="15" spans="1:17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O15" s="69"/>
      <c r="P15" s="69"/>
      <c r="Q15" s="69"/>
    </row>
    <row r="16" spans="1:17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</row>
    <row r="17" spans="14:17">
      <c r="N17" s="69"/>
      <c r="O17" s="69"/>
      <c r="P17" s="69"/>
      <c r="Q17" s="69"/>
    </row>
  </sheetData>
  <sheetProtection password="C238" sheet="1" objects="1" scenarios="1" selectLockedCells="1"/>
  <mergeCells count="4">
    <mergeCell ref="H12:K12"/>
    <mergeCell ref="H10:K10"/>
    <mergeCell ref="H13:K13"/>
    <mergeCell ref="H11:K11"/>
  </mergeCells>
  <phoneticPr fontId="0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I12"/>
  <sheetViews>
    <sheetView workbookViewId="0">
      <selection activeCell="B2" sqref="B2:I3"/>
    </sheetView>
  </sheetViews>
  <sheetFormatPr defaultColWidth="13.1796875" defaultRowHeight="14.5"/>
  <cols>
    <col min="1" max="3" width="13.1796875" customWidth="1"/>
    <col min="4" max="4" width="18.453125" customWidth="1"/>
    <col min="5" max="5" width="15.54296875" customWidth="1"/>
    <col min="6" max="6" width="12.1796875" customWidth="1"/>
    <col min="7" max="7" width="14.54296875" customWidth="1"/>
    <col min="8" max="8" width="25.1796875" customWidth="1"/>
  </cols>
  <sheetData>
    <row r="2" spans="2:9" s="182" customFormat="1">
      <c r="B2" s="284" t="s">
        <v>179</v>
      </c>
      <c r="C2" s="284" t="s">
        <v>216</v>
      </c>
      <c r="D2" s="284" t="s">
        <v>175</v>
      </c>
      <c r="E2" s="284" t="s">
        <v>176</v>
      </c>
      <c r="F2" s="284" t="s">
        <v>177</v>
      </c>
      <c r="G2" s="284" t="s">
        <v>178</v>
      </c>
      <c r="H2" s="284" t="s">
        <v>244</v>
      </c>
      <c r="I2" s="284" t="s">
        <v>245</v>
      </c>
    </row>
    <row r="3" spans="2:9">
      <c r="B3" s="129" t="str">
        <f>Qtn_table1!G7</f>
        <v>Ctrl:</v>
      </c>
      <c r="C3" s="129" t="str">
        <f>Qtn_table1!H7</f>
        <v>R-MMDD</v>
      </c>
      <c r="D3" s="129">
        <f>Qtn_table1!C9</f>
        <v>0</v>
      </c>
      <c r="E3" s="129" t="str">
        <f>'WORK OUT'!N2</f>
        <v>Mr.</v>
      </c>
      <c r="F3" s="129">
        <f>'WORK OUT'!N3</f>
        <v>0</v>
      </c>
      <c r="G3" s="129">
        <f>'WORK OUT'!N4</f>
        <v>0</v>
      </c>
      <c r="H3" s="183" t="e">
        <f>Qtn_table1!I39</f>
        <v>#DIV/0!</v>
      </c>
      <c r="I3" s="129"/>
    </row>
    <row r="7" spans="2:9">
      <c r="I7" s="33"/>
    </row>
    <row r="11" spans="2:9">
      <c r="I11" s="33"/>
    </row>
    <row r="12" spans="2:9">
      <c r="I12" s="3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2:L50"/>
  <sheetViews>
    <sheetView view="pageBreakPreview" zoomScale="75" zoomScaleSheetLayoutView="75" workbookViewId="0">
      <selection activeCell="I6" sqref="I6:J6"/>
    </sheetView>
  </sheetViews>
  <sheetFormatPr defaultRowHeight="14.5"/>
  <cols>
    <col min="3" max="3" width="5.1796875" customWidth="1"/>
    <col min="4" max="4" width="36.54296875" customWidth="1"/>
    <col min="5" max="5" width="12.453125" customWidth="1"/>
    <col min="6" max="6" width="8.7265625" customWidth="1"/>
    <col min="7" max="7" width="18.26953125" customWidth="1"/>
    <col min="8" max="8" width="27.1796875" customWidth="1"/>
    <col min="9" max="9" width="11.7265625" customWidth="1"/>
    <col min="10" max="10" width="14" customWidth="1"/>
    <col min="11" max="11" width="14.54296875" customWidth="1"/>
  </cols>
  <sheetData>
    <row r="2" spans="3:12" ht="21" customHeight="1">
      <c r="C2" s="64"/>
      <c r="D2" s="65"/>
      <c r="E2" s="65"/>
      <c r="F2" s="461" t="s">
        <v>91</v>
      </c>
      <c r="G2" s="461"/>
      <c r="H2" s="461"/>
      <c r="I2" s="277" t="s">
        <v>103</v>
      </c>
      <c r="J2" s="462" t="s">
        <v>98</v>
      </c>
      <c r="K2" s="463"/>
    </row>
    <row r="3" spans="3:12" ht="21">
      <c r="C3" s="479"/>
      <c r="D3" s="480"/>
      <c r="E3" s="480"/>
      <c r="F3" s="484"/>
      <c r="G3" s="484"/>
      <c r="H3" s="484"/>
      <c r="I3" s="3"/>
      <c r="J3" s="26"/>
      <c r="K3" s="66"/>
    </row>
    <row r="4" spans="3:12" ht="25" customHeight="1">
      <c r="C4" s="36"/>
      <c r="D4" s="35"/>
      <c r="E4" s="35"/>
      <c r="F4" s="481" t="s">
        <v>71</v>
      </c>
      <c r="G4" s="481"/>
      <c r="H4" s="481"/>
      <c r="I4" s="35"/>
      <c r="J4" s="50"/>
      <c r="K4" s="67"/>
      <c r="L4" s="42"/>
    </row>
    <row r="5" spans="3:12" ht="25" customHeight="1">
      <c r="C5" s="68"/>
      <c r="D5" s="56"/>
      <c r="E5" s="56"/>
      <c r="F5" s="482" t="s">
        <v>72</v>
      </c>
      <c r="G5" s="482"/>
      <c r="H5" s="482"/>
      <c r="I5" s="56"/>
      <c r="J5" s="464" t="s">
        <v>214</v>
      </c>
      <c r="K5" s="465"/>
    </row>
    <row r="6" spans="3:12" ht="25" customHeight="1">
      <c r="C6" s="54" t="s">
        <v>49</v>
      </c>
      <c r="D6" s="55"/>
      <c r="E6" s="429"/>
      <c r="F6" s="429"/>
      <c r="G6" s="483"/>
      <c r="H6" s="227" t="s">
        <v>73</v>
      </c>
      <c r="I6" s="470" t="s">
        <v>94</v>
      </c>
      <c r="J6" s="470"/>
      <c r="K6" s="229"/>
    </row>
    <row r="7" spans="3:12" ht="25" customHeight="1">
      <c r="C7" s="47"/>
      <c r="D7" s="485">
        <f>Qtn_table1!C9</f>
        <v>0</v>
      </c>
      <c r="E7" s="485"/>
      <c r="F7" s="485"/>
      <c r="G7" s="486"/>
      <c r="H7" s="226"/>
      <c r="I7" s="228"/>
      <c r="J7" s="204"/>
      <c r="K7" s="229"/>
    </row>
    <row r="8" spans="3:12" ht="25" customHeight="1">
      <c r="C8" s="47"/>
      <c r="D8" s="485"/>
      <c r="E8" s="485"/>
      <c r="F8" s="485"/>
      <c r="G8" s="486"/>
      <c r="H8" s="227" t="s">
        <v>96</v>
      </c>
      <c r="I8" s="471"/>
      <c r="J8" s="471"/>
      <c r="K8" s="472"/>
    </row>
    <row r="9" spans="3:12" ht="25" customHeight="1">
      <c r="C9" s="47"/>
      <c r="D9" s="485"/>
      <c r="E9" s="485"/>
      <c r="F9" s="485"/>
      <c r="G9" s="486"/>
      <c r="H9" s="227" t="s">
        <v>102</v>
      </c>
      <c r="I9" s="468"/>
      <c r="J9" s="468"/>
      <c r="K9" s="469"/>
    </row>
    <row r="10" spans="3:12" ht="25" customHeight="1">
      <c r="C10" s="47"/>
      <c r="D10" s="485"/>
      <c r="E10" s="485"/>
      <c r="F10" s="485"/>
      <c r="G10" s="486"/>
      <c r="H10" s="227" t="s">
        <v>101</v>
      </c>
      <c r="I10" s="468"/>
      <c r="J10" s="468"/>
      <c r="K10" s="469"/>
    </row>
    <row r="11" spans="3:12" ht="25" customHeight="1">
      <c r="C11" s="47"/>
      <c r="D11" s="487"/>
      <c r="E11" s="487"/>
      <c r="F11" s="487"/>
      <c r="G11" s="488"/>
      <c r="H11" s="102"/>
      <c r="I11" s="466"/>
      <c r="J11" s="466"/>
      <c r="K11" s="467"/>
    </row>
    <row r="12" spans="3:12" ht="25" customHeight="1">
      <c r="C12" s="43"/>
      <c r="D12" s="53" t="s">
        <v>107</v>
      </c>
      <c r="E12" s="34"/>
      <c r="F12" s="34"/>
      <c r="G12" s="34"/>
      <c r="H12" s="37"/>
      <c r="I12" s="37"/>
      <c r="J12" s="38"/>
      <c r="K12" s="44"/>
    </row>
    <row r="13" spans="3:12" ht="54">
      <c r="C13" s="230" t="s">
        <v>41</v>
      </c>
      <c r="D13" s="231" t="s">
        <v>18</v>
      </c>
      <c r="E13" s="230" t="s">
        <v>2</v>
      </c>
      <c r="F13" s="230" t="s">
        <v>64</v>
      </c>
      <c r="G13" s="489" t="s">
        <v>21</v>
      </c>
      <c r="H13" s="490"/>
      <c r="I13" s="230" t="str">
        <f>Qtn_table1!G20</f>
        <v>JOB COST     Rs.</v>
      </c>
      <c r="J13" s="230" t="str">
        <f>Qtn_table1!H20</f>
        <v>QTY/JOB</v>
      </c>
      <c r="K13" s="232" t="str">
        <f>Qtn_table1!I20</f>
        <v>TOTAL      Rs.</v>
      </c>
    </row>
    <row r="14" spans="3:12" ht="20.5" customHeight="1">
      <c r="C14" s="230"/>
      <c r="D14" s="279">
        <f>Qtn_table1!C21</f>
        <v>0</v>
      </c>
      <c r="E14" s="235"/>
      <c r="F14" s="230"/>
      <c r="G14" s="491">
        <f>Qtn_table1!F21</f>
        <v>0</v>
      </c>
      <c r="H14" s="492"/>
      <c r="I14" s="230"/>
      <c r="J14" s="230"/>
      <c r="K14" s="232"/>
    </row>
    <row r="15" spans="3:12" ht="25" customHeight="1">
      <c r="C15" s="233">
        <f>Qtn_table1!B22</f>
        <v>1</v>
      </c>
      <c r="D15" s="234">
        <f>Qtn_table1!C22</f>
        <v>0</v>
      </c>
      <c r="E15" s="235">
        <f>Qtn_table1!D22</f>
        <v>0</v>
      </c>
      <c r="F15" s="235">
        <f>Qtn_table1!E22</f>
        <v>0</v>
      </c>
      <c r="G15" s="475">
        <f>Qtn_table1!F22</f>
        <v>0</v>
      </c>
      <c r="H15" s="476"/>
      <c r="I15" s="236" t="e">
        <f>Qtn_table1!G22</f>
        <v>#DIV/0!</v>
      </c>
      <c r="J15" s="236">
        <f>Qtn_table1!H22</f>
        <v>0</v>
      </c>
      <c r="K15" s="237" t="e">
        <f>I15*J15</f>
        <v>#DIV/0!</v>
      </c>
    </row>
    <row r="16" spans="3:12" ht="25" customHeight="1">
      <c r="C16" s="233">
        <f>Qtn_table1!B23</f>
        <v>0</v>
      </c>
      <c r="D16" s="234">
        <f>Qtn_table1!C23</f>
        <v>0</v>
      </c>
      <c r="E16" s="235">
        <f>Qtn_table1!D23</f>
        <v>0</v>
      </c>
      <c r="F16" s="235">
        <f>Qtn_table1!E23</f>
        <v>0</v>
      </c>
      <c r="G16" s="475">
        <f>Qtn_table1!F23</f>
        <v>0</v>
      </c>
      <c r="H16" s="476"/>
      <c r="I16" s="236" t="e">
        <f>Qtn_table1!G23</f>
        <v>#DIV/0!</v>
      </c>
      <c r="J16" s="236">
        <f>Qtn_table1!H23</f>
        <v>0</v>
      </c>
      <c r="K16" s="237" t="e">
        <f t="shared" ref="K16:K25" si="0">I16*J16</f>
        <v>#DIV/0!</v>
      </c>
    </row>
    <row r="17" spans="3:11" ht="25" customHeight="1">
      <c r="C17" s="233">
        <f>Qtn_table1!B24</f>
        <v>0</v>
      </c>
      <c r="D17" s="234">
        <f>Qtn_table1!C24</f>
        <v>0</v>
      </c>
      <c r="E17" s="235">
        <f>Qtn_table1!D24</f>
        <v>0</v>
      </c>
      <c r="F17" s="235">
        <f>Qtn_table1!E24</f>
        <v>0</v>
      </c>
      <c r="G17" s="475">
        <f>Qtn_table1!F24</f>
        <v>0</v>
      </c>
      <c r="H17" s="476"/>
      <c r="I17" s="236" t="e">
        <f>Qtn_table1!G24</f>
        <v>#DIV/0!</v>
      </c>
      <c r="J17" s="236">
        <f>Qtn_table1!H24</f>
        <v>0</v>
      </c>
      <c r="K17" s="237" t="e">
        <f t="shared" si="0"/>
        <v>#DIV/0!</v>
      </c>
    </row>
    <row r="18" spans="3:11" ht="25" customHeight="1">
      <c r="C18" s="233">
        <f>Qtn_table1!B25</f>
        <v>0</v>
      </c>
      <c r="D18" s="234">
        <f>Qtn_table1!C25</f>
        <v>0</v>
      </c>
      <c r="E18" s="235">
        <f>Qtn_table1!D25</f>
        <v>0</v>
      </c>
      <c r="F18" s="235">
        <f>Qtn_table1!E25</f>
        <v>0</v>
      </c>
      <c r="G18" s="475">
        <f>Qtn_table1!F25</f>
        <v>0</v>
      </c>
      <c r="H18" s="476"/>
      <c r="I18" s="236" t="e">
        <f>Qtn_table1!G25</f>
        <v>#DIV/0!</v>
      </c>
      <c r="J18" s="236">
        <f>Qtn_table1!H25</f>
        <v>0</v>
      </c>
      <c r="K18" s="237" t="e">
        <f t="shared" si="0"/>
        <v>#DIV/0!</v>
      </c>
    </row>
    <row r="19" spans="3:11" ht="25" customHeight="1">
      <c r="C19" s="233">
        <f>Qtn_table1!B26</f>
        <v>0</v>
      </c>
      <c r="D19" s="234">
        <f>Qtn_table1!C26</f>
        <v>0</v>
      </c>
      <c r="E19" s="235">
        <f>Qtn_table1!D26</f>
        <v>0</v>
      </c>
      <c r="F19" s="235">
        <f>Qtn_table1!E26</f>
        <v>0</v>
      </c>
      <c r="G19" s="475">
        <f>Qtn_table1!F26</f>
        <v>0</v>
      </c>
      <c r="H19" s="476"/>
      <c r="I19" s="236" t="e">
        <f>Qtn_table1!G26</f>
        <v>#DIV/0!</v>
      </c>
      <c r="J19" s="236">
        <f>Qtn_table1!H26</f>
        <v>0</v>
      </c>
      <c r="K19" s="237" t="e">
        <f t="shared" si="0"/>
        <v>#DIV/0!</v>
      </c>
    </row>
    <row r="20" spans="3:11" ht="25" customHeight="1">
      <c r="C20" s="233">
        <f>Qtn_table1!B27</f>
        <v>0</v>
      </c>
      <c r="D20" s="234">
        <f>Qtn_table1!C27</f>
        <v>0</v>
      </c>
      <c r="E20" s="235">
        <f>Qtn_table1!D27</f>
        <v>0</v>
      </c>
      <c r="F20" s="235">
        <f>Qtn_table1!E27</f>
        <v>0</v>
      </c>
      <c r="G20" s="475">
        <f>Qtn_table1!F27</f>
        <v>0</v>
      </c>
      <c r="H20" s="476"/>
      <c r="I20" s="236" t="e">
        <f>Qtn_table1!G27</f>
        <v>#DIV/0!</v>
      </c>
      <c r="J20" s="236">
        <f>Qtn_table1!H27</f>
        <v>0</v>
      </c>
      <c r="K20" s="237" t="e">
        <f t="shared" si="0"/>
        <v>#DIV/0!</v>
      </c>
    </row>
    <row r="21" spans="3:11" ht="25" customHeight="1">
      <c r="C21" s="233">
        <f>Qtn_table1!B28</f>
        <v>0</v>
      </c>
      <c r="D21" s="234">
        <f>Qtn_table1!C28</f>
        <v>0</v>
      </c>
      <c r="E21" s="235">
        <f>Qtn_table1!D28</f>
        <v>0</v>
      </c>
      <c r="F21" s="235">
        <f>Qtn_table1!E28</f>
        <v>0</v>
      </c>
      <c r="G21" s="475">
        <f>Qtn_table1!F28</f>
        <v>0</v>
      </c>
      <c r="H21" s="476"/>
      <c r="I21" s="236" t="e">
        <f>Qtn_table1!G28</f>
        <v>#DIV/0!</v>
      </c>
      <c r="J21" s="236">
        <f>Qtn_table1!H28</f>
        <v>0</v>
      </c>
      <c r="K21" s="237" t="e">
        <f t="shared" si="0"/>
        <v>#DIV/0!</v>
      </c>
    </row>
    <row r="22" spans="3:11" ht="25" customHeight="1">
      <c r="C22" s="233">
        <f>Qtn_table1!B29</f>
        <v>0</v>
      </c>
      <c r="D22" s="234">
        <f>Qtn_table1!C29</f>
        <v>0</v>
      </c>
      <c r="E22" s="235">
        <f>Qtn_table1!D29</f>
        <v>0</v>
      </c>
      <c r="F22" s="235">
        <f>Qtn_table1!E29</f>
        <v>0</v>
      </c>
      <c r="G22" s="475">
        <f>Qtn_table1!F29</f>
        <v>0</v>
      </c>
      <c r="H22" s="476"/>
      <c r="I22" s="236" t="e">
        <f>Qtn_table1!G29</f>
        <v>#DIV/0!</v>
      </c>
      <c r="J22" s="236">
        <f>Qtn_table1!H29</f>
        <v>0</v>
      </c>
      <c r="K22" s="237" t="e">
        <f t="shared" si="0"/>
        <v>#DIV/0!</v>
      </c>
    </row>
    <row r="23" spans="3:11" ht="25" customHeight="1">
      <c r="C23" s="233">
        <f>Qtn_table1!B30</f>
        <v>0</v>
      </c>
      <c r="D23" s="234">
        <f>Qtn_table1!C30</f>
        <v>0</v>
      </c>
      <c r="E23" s="235">
        <f>Qtn_table1!D30</f>
        <v>0</v>
      </c>
      <c r="F23" s="235">
        <f>Qtn_table1!E30</f>
        <v>0</v>
      </c>
      <c r="G23" s="475">
        <f>Qtn_table1!F30</f>
        <v>0</v>
      </c>
      <c r="H23" s="476"/>
      <c r="I23" s="236" t="e">
        <f>Qtn_table1!G30</f>
        <v>#DIV/0!</v>
      </c>
      <c r="J23" s="236">
        <f>Qtn_table1!H30</f>
        <v>0</v>
      </c>
      <c r="K23" s="237" t="e">
        <f t="shared" si="0"/>
        <v>#DIV/0!</v>
      </c>
    </row>
    <row r="24" spans="3:11" ht="25" customHeight="1">
      <c r="C24" s="233">
        <f>Qtn_table1!B31</f>
        <v>0</v>
      </c>
      <c r="D24" s="234">
        <f>Qtn_table1!C31</f>
        <v>0</v>
      </c>
      <c r="E24" s="235">
        <f>Qtn_table1!D31</f>
        <v>0</v>
      </c>
      <c r="F24" s="235">
        <f>Qtn_table1!E31</f>
        <v>0</v>
      </c>
      <c r="G24" s="475">
        <f>Qtn_table1!F31</f>
        <v>0</v>
      </c>
      <c r="H24" s="476"/>
      <c r="I24" s="236" t="e">
        <f>Qtn_table1!G31</f>
        <v>#DIV/0!</v>
      </c>
      <c r="J24" s="236">
        <f>Qtn_table1!H31</f>
        <v>0</v>
      </c>
      <c r="K24" s="237" t="e">
        <f t="shared" si="0"/>
        <v>#DIV/0!</v>
      </c>
    </row>
    <row r="25" spans="3:11" ht="25" customHeight="1">
      <c r="C25" s="233">
        <f>Qtn_table1!B32</f>
        <v>0</v>
      </c>
      <c r="D25" s="234">
        <f>Qtn_table1!C32</f>
        <v>0</v>
      </c>
      <c r="E25" s="235">
        <f>Qtn_table1!D32</f>
        <v>0</v>
      </c>
      <c r="F25" s="235">
        <f>Qtn_table1!E32</f>
        <v>0</v>
      </c>
      <c r="G25" s="475">
        <f>Qtn_table1!F32</f>
        <v>0</v>
      </c>
      <c r="H25" s="476"/>
      <c r="I25" s="236" t="e">
        <f>Qtn_table1!G32</f>
        <v>#DIV/0!</v>
      </c>
      <c r="J25" s="236">
        <f>Qtn_table1!H32</f>
        <v>0</v>
      </c>
      <c r="K25" s="237" t="e">
        <f t="shared" si="0"/>
        <v>#DIV/0!</v>
      </c>
    </row>
    <row r="26" spans="3:11" ht="25" customHeight="1">
      <c r="C26" s="233">
        <f>Qtn_table1!B33</f>
        <v>0</v>
      </c>
      <c r="D26" s="234">
        <f>Qtn_table1!C33</f>
        <v>0</v>
      </c>
      <c r="E26" s="235">
        <f>Qtn_table1!D33</f>
        <v>0</v>
      </c>
      <c r="F26" s="235">
        <f>Qtn_table1!E33</f>
        <v>0</v>
      </c>
      <c r="G26" s="475">
        <f>Qtn_table1!F33</f>
        <v>0</v>
      </c>
      <c r="H26" s="476"/>
      <c r="I26" s="236" t="e">
        <f>Qtn_table1!G33</f>
        <v>#DIV/0!</v>
      </c>
      <c r="J26" s="236">
        <f>Qtn_table1!H33</f>
        <v>0</v>
      </c>
      <c r="K26" s="237" t="e">
        <f t="shared" ref="K26:K31" si="1">I26*J26</f>
        <v>#DIV/0!</v>
      </c>
    </row>
    <row r="27" spans="3:11" ht="25" customHeight="1">
      <c r="C27" s="233">
        <f>Qtn_table1!B34</f>
        <v>0</v>
      </c>
      <c r="D27" s="234">
        <f>Qtn_table1!C34</f>
        <v>0</v>
      </c>
      <c r="E27" s="235">
        <f>Qtn_table1!D34</f>
        <v>0</v>
      </c>
      <c r="F27" s="235">
        <f>Qtn_table1!E34</f>
        <v>0</v>
      </c>
      <c r="G27" s="475">
        <f>Qtn_table1!F34</f>
        <v>0</v>
      </c>
      <c r="H27" s="476"/>
      <c r="I27" s="236" t="e">
        <f>Qtn_table1!G34</f>
        <v>#DIV/0!</v>
      </c>
      <c r="J27" s="236">
        <f>Qtn_table1!H34</f>
        <v>0</v>
      </c>
      <c r="K27" s="237" t="e">
        <f t="shared" si="1"/>
        <v>#DIV/0!</v>
      </c>
    </row>
    <row r="28" spans="3:11" ht="25" customHeight="1">
      <c r="C28" s="233">
        <f>Qtn_table1!B35</f>
        <v>0</v>
      </c>
      <c r="D28" s="234">
        <f>Qtn_table1!C35</f>
        <v>0</v>
      </c>
      <c r="E28" s="235">
        <f>Qtn_table1!D35</f>
        <v>0</v>
      </c>
      <c r="F28" s="235">
        <f>Qtn_table1!E35</f>
        <v>0</v>
      </c>
      <c r="G28" s="475">
        <f>Qtn_table1!F35</f>
        <v>0</v>
      </c>
      <c r="H28" s="476"/>
      <c r="I28" s="236" t="e">
        <f>Qtn_table1!G35</f>
        <v>#DIV/0!</v>
      </c>
      <c r="J28" s="236">
        <f>Qtn_table1!H35</f>
        <v>0</v>
      </c>
      <c r="K28" s="237" t="e">
        <f t="shared" si="1"/>
        <v>#DIV/0!</v>
      </c>
    </row>
    <row r="29" spans="3:11" ht="25" customHeight="1">
      <c r="C29" s="233">
        <f>Qtn_table1!B36</f>
        <v>0</v>
      </c>
      <c r="D29" s="234">
        <f>Qtn_table1!C36</f>
        <v>0</v>
      </c>
      <c r="E29" s="235">
        <f>Qtn_table1!D36</f>
        <v>0</v>
      </c>
      <c r="F29" s="235">
        <f>Qtn_table1!E36</f>
        <v>0</v>
      </c>
      <c r="G29" s="475">
        <f>Qtn_table1!F36</f>
        <v>0</v>
      </c>
      <c r="H29" s="476"/>
      <c r="I29" s="236" t="e">
        <f>Qtn_table1!G36</f>
        <v>#DIV/0!</v>
      </c>
      <c r="J29" s="236">
        <f>Qtn_table1!H36</f>
        <v>0</v>
      </c>
      <c r="K29" s="237" t="e">
        <f t="shared" si="1"/>
        <v>#DIV/0!</v>
      </c>
    </row>
    <row r="30" spans="3:11" ht="25" customHeight="1">
      <c r="C30" s="233">
        <f>Qtn_table1!B37</f>
        <v>0</v>
      </c>
      <c r="D30" s="234">
        <f>Qtn_table1!C37</f>
        <v>0</v>
      </c>
      <c r="E30" s="235">
        <f>Qtn_table1!D37</f>
        <v>0</v>
      </c>
      <c r="F30" s="235">
        <f>Qtn_table1!E37</f>
        <v>0</v>
      </c>
      <c r="G30" s="475">
        <f>Qtn_table1!F37</f>
        <v>0</v>
      </c>
      <c r="H30" s="476"/>
      <c r="I30" s="236" t="e">
        <f>Qtn_table1!G37</f>
        <v>#DIV/0!</v>
      </c>
      <c r="J30" s="236">
        <f>Qtn_table1!H37</f>
        <v>0</v>
      </c>
      <c r="K30" s="237" t="e">
        <f t="shared" si="1"/>
        <v>#DIV/0!</v>
      </c>
    </row>
    <row r="31" spans="3:11" ht="25" customHeight="1">
      <c r="C31" s="233">
        <f>Qtn_table1!B38</f>
        <v>0</v>
      </c>
      <c r="D31" s="234">
        <f>Qtn_table1!C38</f>
        <v>0</v>
      </c>
      <c r="E31" s="235">
        <f>Qtn_table1!D38</f>
        <v>0</v>
      </c>
      <c r="F31" s="235">
        <f>Qtn_table1!E38</f>
        <v>0</v>
      </c>
      <c r="G31" s="475">
        <f>Qtn_table1!F38</f>
        <v>0</v>
      </c>
      <c r="H31" s="476"/>
      <c r="I31" s="236" t="e">
        <f>Qtn_table1!G38</f>
        <v>#DIV/0!</v>
      </c>
      <c r="J31" s="236">
        <f>Qtn_table1!H38</f>
        <v>0</v>
      </c>
      <c r="K31" s="337" t="e">
        <f t="shared" si="1"/>
        <v>#DIV/0!</v>
      </c>
    </row>
    <row r="32" spans="3:11" ht="25" customHeight="1">
      <c r="C32" s="477"/>
      <c r="D32" s="478"/>
      <c r="E32" s="478"/>
      <c r="F32" s="478"/>
      <c r="G32" s="478"/>
      <c r="H32" s="478"/>
      <c r="I32" s="473" t="s">
        <v>76</v>
      </c>
      <c r="J32" s="474"/>
      <c r="K32" s="238" t="e">
        <f>SUM(K15:K31)</f>
        <v>#DIV/0!</v>
      </c>
    </row>
    <row r="33" spans="3:11" ht="25" customHeight="1">
      <c r="C33" s="226"/>
      <c r="D33" s="239"/>
      <c r="E33" s="500"/>
      <c r="F33" s="500"/>
      <c r="G33" s="500"/>
      <c r="H33" s="239"/>
      <c r="I33" s="496" t="s">
        <v>240</v>
      </c>
      <c r="J33" s="497"/>
      <c r="K33" s="240" t="e">
        <f>K32*0.09</f>
        <v>#DIV/0!</v>
      </c>
    </row>
    <row r="34" spans="3:11" ht="25" customHeight="1">
      <c r="C34" s="504" t="s">
        <v>183</v>
      </c>
      <c r="D34" s="505"/>
      <c r="E34" s="506"/>
      <c r="F34" s="241"/>
      <c r="G34" s="242" t="s">
        <v>208</v>
      </c>
      <c r="H34" s="242"/>
      <c r="I34" s="496" t="s">
        <v>241</v>
      </c>
      <c r="J34" s="497"/>
      <c r="K34" s="240" t="e">
        <f>K32*0.09</f>
        <v>#DIV/0!</v>
      </c>
    </row>
    <row r="35" spans="3:11" ht="25" customHeight="1">
      <c r="C35" s="243" t="s">
        <v>182</v>
      </c>
      <c r="D35" s="257"/>
      <c r="E35" s="258"/>
      <c r="F35" s="251"/>
      <c r="G35" s="239"/>
      <c r="H35" s="239"/>
      <c r="I35" s="496" t="s">
        <v>249</v>
      </c>
      <c r="J35" s="497"/>
      <c r="K35" s="340" t="e">
        <f>K36-(SUM(K32:K34))</f>
        <v>#DIV/0!</v>
      </c>
    </row>
    <row r="36" spans="3:11" ht="22.5" customHeight="1">
      <c r="C36" s="244" t="s">
        <v>215</v>
      </c>
      <c r="D36" s="259"/>
      <c r="E36" s="260"/>
      <c r="F36" s="257"/>
      <c r="G36" s="246"/>
      <c r="H36" s="336"/>
      <c r="I36" s="493" t="s">
        <v>77</v>
      </c>
      <c r="J36" s="494"/>
      <c r="K36" s="338" t="e">
        <f>ROUND(SUM(K32:K34),0)</f>
        <v>#DIV/0!</v>
      </c>
    </row>
    <row r="37" spans="3:11" ht="18.75" customHeight="1">
      <c r="C37" s="244" t="s">
        <v>237</v>
      </c>
      <c r="D37" s="261"/>
      <c r="E37" s="260"/>
      <c r="F37" s="251"/>
      <c r="G37" s="248"/>
      <c r="H37" s="229"/>
      <c r="I37" s="239"/>
      <c r="J37" s="239"/>
      <c r="K37" s="229"/>
    </row>
    <row r="38" spans="3:11" ht="19.5" customHeight="1">
      <c r="C38" s="249" t="s">
        <v>181</v>
      </c>
      <c r="D38" s="250"/>
      <c r="E38" s="262"/>
      <c r="F38" s="251"/>
      <c r="G38" s="245"/>
      <c r="H38" s="252"/>
      <c r="I38" s="478" t="s">
        <v>207</v>
      </c>
      <c r="J38" s="478"/>
      <c r="K38" s="507"/>
    </row>
    <row r="39" spans="3:11" ht="18.75" customHeight="1">
      <c r="C39" s="501" t="s">
        <v>180</v>
      </c>
      <c r="D39" s="502"/>
      <c r="E39" s="503"/>
      <c r="F39" s="251"/>
      <c r="G39" s="245"/>
      <c r="H39" s="253"/>
      <c r="I39" s="239"/>
      <c r="J39" s="204"/>
      <c r="K39" s="229"/>
    </row>
    <row r="40" spans="3:11" ht="24" customHeight="1">
      <c r="C40" s="244" t="s">
        <v>99</v>
      </c>
      <c r="D40" s="263"/>
      <c r="E40" s="260"/>
      <c r="F40" s="251"/>
      <c r="G40" s="245"/>
      <c r="H40" s="252"/>
      <c r="I40" s="239"/>
      <c r="J40" s="204"/>
      <c r="K40" s="229"/>
    </row>
    <row r="41" spans="3:11" ht="24.65" customHeight="1">
      <c r="C41" s="249" t="s">
        <v>100</v>
      </c>
      <c r="D41" s="250"/>
      <c r="E41" s="262"/>
      <c r="F41" s="254"/>
      <c r="G41" s="255"/>
      <c r="H41" s="256"/>
      <c r="I41" s="498" t="s">
        <v>74</v>
      </c>
      <c r="J41" s="498"/>
      <c r="K41" s="499"/>
    </row>
    <row r="42" spans="3:11">
      <c r="I42" s="27"/>
      <c r="J42" s="29"/>
      <c r="K42" s="27"/>
    </row>
    <row r="43" spans="3:11">
      <c r="I43" s="28"/>
      <c r="J43" s="30"/>
      <c r="K43" s="28"/>
    </row>
    <row r="44" spans="3:11">
      <c r="I44" s="27"/>
      <c r="J44" s="29"/>
      <c r="K44" s="27"/>
    </row>
    <row r="45" spans="3:11" ht="15.5">
      <c r="E45" s="100"/>
      <c r="F45" s="101"/>
      <c r="I45" s="3"/>
      <c r="J45" s="26"/>
      <c r="K45" s="3"/>
    </row>
    <row r="46" spans="3:11" ht="15.5">
      <c r="E46" s="495"/>
      <c r="F46" s="495"/>
      <c r="I46" s="31"/>
      <c r="J46" s="32"/>
      <c r="K46" s="31"/>
    </row>
    <row r="47" spans="3:11" ht="15.5">
      <c r="E47" s="100"/>
      <c r="F47" s="100"/>
    </row>
    <row r="48" spans="3:11" ht="15.5">
      <c r="E48" s="100"/>
      <c r="F48" s="100"/>
    </row>
    <row r="49" spans="5:6" ht="15.5">
      <c r="E49" s="100"/>
      <c r="F49" s="100"/>
    </row>
    <row r="50" spans="5:6" ht="15.5">
      <c r="E50" s="100"/>
      <c r="F50" s="101"/>
    </row>
  </sheetData>
  <mergeCells count="46">
    <mergeCell ref="I36:J36"/>
    <mergeCell ref="G23:H23"/>
    <mergeCell ref="E46:F46"/>
    <mergeCell ref="I33:J33"/>
    <mergeCell ref="I34:J34"/>
    <mergeCell ref="I35:J35"/>
    <mergeCell ref="I41:K41"/>
    <mergeCell ref="E33:G33"/>
    <mergeCell ref="C39:E39"/>
    <mergeCell ref="C34:E34"/>
    <mergeCell ref="I38:K38"/>
    <mergeCell ref="G24:H24"/>
    <mergeCell ref="G31:H31"/>
    <mergeCell ref="G29:H29"/>
    <mergeCell ref="G25:H25"/>
    <mergeCell ref="G28:H28"/>
    <mergeCell ref="G18:H18"/>
    <mergeCell ref="D7:G10"/>
    <mergeCell ref="G15:H15"/>
    <mergeCell ref="D11:G11"/>
    <mergeCell ref="G13:H13"/>
    <mergeCell ref="G14:H14"/>
    <mergeCell ref="G17:H17"/>
    <mergeCell ref="G16:H16"/>
    <mergeCell ref="C3:E3"/>
    <mergeCell ref="F4:H4"/>
    <mergeCell ref="F5:H5"/>
    <mergeCell ref="E6:G6"/>
    <mergeCell ref="F3:H3"/>
    <mergeCell ref="I32:J32"/>
    <mergeCell ref="G19:H19"/>
    <mergeCell ref="G22:H22"/>
    <mergeCell ref="G20:H20"/>
    <mergeCell ref="G21:H21"/>
    <mergeCell ref="C32:H32"/>
    <mergeCell ref="G26:H26"/>
    <mergeCell ref="G27:H27"/>
    <mergeCell ref="G30:H30"/>
    <mergeCell ref="F2:H2"/>
    <mergeCell ref="J2:K2"/>
    <mergeCell ref="J5:K5"/>
    <mergeCell ref="I11:K11"/>
    <mergeCell ref="I10:K10"/>
    <mergeCell ref="I6:J6"/>
    <mergeCell ref="I8:K8"/>
    <mergeCell ref="I9:K9"/>
  </mergeCells>
  <phoneticPr fontId="0" type="noConversion"/>
  <printOptions horizontalCentered="1"/>
  <pageMargins left="0.51181102362204722" right="0" top="0.51181102362204722" bottom="0.23622047244094491" header="0" footer="0"/>
  <pageSetup paperSize="9" scale="6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C2:M51"/>
  <sheetViews>
    <sheetView view="pageBreakPreview" zoomScale="75" zoomScaleSheetLayoutView="75" workbookViewId="0">
      <selection activeCell="I6" sqref="I6:K6"/>
    </sheetView>
  </sheetViews>
  <sheetFormatPr defaultRowHeight="14.5"/>
  <cols>
    <col min="3" max="3" width="5.1796875" customWidth="1"/>
    <col min="4" max="4" width="36.54296875" customWidth="1"/>
    <col min="5" max="5" width="10.81640625" bestFit="1" customWidth="1"/>
    <col min="6" max="6" width="8.7265625" customWidth="1"/>
    <col min="7" max="7" width="18.26953125" customWidth="1"/>
    <col min="8" max="8" width="27.1796875" customWidth="1"/>
    <col min="9" max="9" width="12.81640625" customWidth="1"/>
    <col min="10" max="10" width="9.54296875" customWidth="1"/>
    <col min="11" max="11" width="11.81640625" customWidth="1"/>
    <col min="12" max="12" width="14.54296875" customWidth="1"/>
  </cols>
  <sheetData>
    <row r="2" spans="3:13" ht="21" customHeight="1">
      <c r="C2" s="64"/>
      <c r="D2" s="65"/>
      <c r="E2" s="65"/>
      <c r="F2" s="461" t="s">
        <v>91</v>
      </c>
      <c r="G2" s="461"/>
      <c r="H2" s="461"/>
      <c r="I2" s="278"/>
      <c r="J2" s="277" t="s">
        <v>103</v>
      </c>
      <c r="K2" s="462" t="s">
        <v>98</v>
      </c>
      <c r="L2" s="463"/>
    </row>
    <row r="3" spans="3:13" ht="21">
      <c r="C3" s="479"/>
      <c r="D3" s="480"/>
      <c r="E3" s="480"/>
      <c r="F3" s="484"/>
      <c r="G3" s="484"/>
      <c r="H3" s="484"/>
      <c r="I3" s="3"/>
      <c r="J3" s="3"/>
      <c r="K3" s="26"/>
      <c r="L3" s="66"/>
    </row>
    <row r="4" spans="3:13" ht="25" customHeight="1">
      <c r="C4" s="36"/>
      <c r="D4" s="35"/>
      <c r="E4" s="35"/>
      <c r="F4" s="481" t="s">
        <v>71</v>
      </c>
      <c r="G4" s="481"/>
      <c r="H4" s="481"/>
      <c r="I4" s="35"/>
      <c r="J4" s="35"/>
      <c r="K4" s="50"/>
      <c r="L4" s="67"/>
      <c r="M4" s="42"/>
    </row>
    <row r="5" spans="3:13" ht="25" customHeight="1">
      <c r="C5" s="68"/>
      <c r="D5" s="56"/>
      <c r="E5" s="56"/>
      <c r="F5" s="482" t="s">
        <v>72</v>
      </c>
      <c r="G5" s="482"/>
      <c r="H5" s="482"/>
      <c r="I5" s="56"/>
      <c r="J5" s="56"/>
      <c r="K5" s="464" t="s">
        <v>214</v>
      </c>
      <c r="L5" s="465"/>
    </row>
    <row r="6" spans="3:13" ht="25" customHeight="1">
      <c r="C6" s="54" t="s">
        <v>49</v>
      </c>
      <c r="D6" s="55"/>
      <c r="E6" s="429"/>
      <c r="F6" s="429"/>
      <c r="G6" s="483"/>
      <c r="H6" s="227" t="s">
        <v>73</v>
      </c>
      <c r="I6" s="470" t="s">
        <v>94</v>
      </c>
      <c r="J6" s="470"/>
      <c r="K6" s="470"/>
      <c r="L6" s="229"/>
    </row>
    <row r="7" spans="3:13" ht="25" customHeight="1">
      <c r="C7" s="47"/>
      <c r="D7" s="485">
        <f>Qtn_table1!C9</f>
        <v>0</v>
      </c>
      <c r="E7" s="485"/>
      <c r="F7" s="485"/>
      <c r="G7" s="486"/>
      <c r="H7" s="226"/>
      <c r="I7" s="228"/>
      <c r="J7" s="228"/>
      <c r="K7" s="204"/>
      <c r="L7" s="229"/>
    </row>
    <row r="8" spans="3:13" ht="25" customHeight="1">
      <c r="C8" s="47"/>
      <c r="D8" s="485"/>
      <c r="E8" s="485"/>
      <c r="F8" s="485"/>
      <c r="G8" s="486"/>
      <c r="H8" s="227" t="s">
        <v>96</v>
      </c>
      <c r="I8" s="471"/>
      <c r="J8" s="471"/>
      <c r="K8" s="471"/>
      <c r="L8" s="472"/>
    </row>
    <row r="9" spans="3:13" ht="25" customHeight="1">
      <c r="C9" s="47"/>
      <c r="D9" s="485"/>
      <c r="E9" s="485"/>
      <c r="F9" s="485"/>
      <c r="G9" s="486"/>
      <c r="H9" s="227" t="s">
        <v>102</v>
      </c>
      <c r="I9" s="468"/>
      <c r="J9" s="468"/>
      <c r="K9" s="468"/>
      <c r="L9" s="469"/>
    </row>
    <row r="10" spans="3:13" ht="25" customHeight="1">
      <c r="C10" s="47"/>
      <c r="D10" s="485"/>
      <c r="E10" s="485"/>
      <c r="F10" s="485"/>
      <c r="G10" s="486"/>
      <c r="H10" s="227" t="s">
        <v>101</v>
      </c>
      <c r="I10" s="468"/>
      <c r="J10" s="468"/>
      <c r="K10" s="468"/>
      <c r="L10" s="469"/>
    </row>
    <row r="11" spans="3:13" ht="25" customHeight="1">
      <c r="C11" s="47"/>
      <c r="D11" s="487"/>
      <c r="E11" s="487"/>
      <c r="F11" s="487"/>
      <c r="G11" s="488"/>
      <c r="H11" s="102"/>
      <c r="I11" s="466"/>
      <c r="J11" s="466"/>
      <c r="K11" s="466"/>
      <c r="L11" s="467"/>
    </row>
    <row r="12" spans="3:13" ht="25" customHeight="1">
      <c r="C12" s="43"/>
      <c r="D12" s="53" t="s">
        <v>107</v>
      </c>
      <c r="E12" s="34"/>
      <c r="F12" s="34"/>
      <c r="G12" s="34"/>
      <c r="H12" s="37"/>
      <c r="I12" s="37"/>
      <c r="J12" s="37"/>
      <c r="K12" s="38"/>
      <c r="L12" s="44"/>
    </row>
    <row r="13" spans="3:13" ht="54">
      <c r="C13" s="230" t="s">
        <v>41</v>
      </c>
      <c r="D13" s="231" t="s">
        <v>18</v>
      </c>
      <c r="E13" s="230" t="s">
        <v>2</v>
      </c>
      <c r="F13" s="230" t="s">
        <v>64</v>
      </c>
      <c r="G13" s="489" t="s">
        <v>21</v>
      </c>
      <c r="H13" s="490"/>
      <c r="I13" s="230" t="s">
        <v>75</v>
      </c>
      <c r="J13" s="230" t="s">
        <v>19</v>
      </c>
      <c r="K13" s="230" t="s">
        <v>59</v>
      </c>
      <c r="L13" s="232" t="s">
        <v>60</v>
      </c>
    </row>
    <row r="14" spans="3:13" ht="22.5" customHeight="1">
      <c r="C14" s="230"/>
      <c r="D14" s="231">
        <f>Qtn_RMT_table2!C23</f>
        <v>0</v>
      </c>
      <c r="E14" s="230"/>
      <c r="F14" s="230"/>
      <c r="G14" s="489">
        <f>Qtn_RMT_table2!F23</f>
        <v>0</v>
      </c>
      <c r="H14" s="490"/>
      <c r="I14" s="230"/>
      <c r="J14" s="230"/>
      <c r="K14" s="230"/>
      <c r="L14" s="232"/>
    </row>
    <row r="15" spans="3:13" ht="25" customHeight="1">
      <c r="C15" s="233">
        <f>Qtn_table1!B22</f>
        <v>1</v>
      </c>
      <c r="D15" s="234">
        <f>Qtn_RMT_table2!C24</f>
        <v>0</v>
      </c>
      <c r="E15" s="235">
        <f>Qtn_RMT_table2!D24</f>
        <v>0</v>
      </c>
      <c r="F15" s="235">
        <f>Qtn_RMT_table2!E24</f>
        <v>0</v>
      </c>
      <c r="G15" s="475">
        <f>Qtn_RMT_table2!F24</f>
        <v>0</v>
      </c>
      <c r="H15" s="476"/>
      <c r="I15" s="281">
        <f>Qtn_RMT_table2!G24</f>
        <v>0</v>
      </c>
      <c r="J15" s="282">
        <f>Qtn_RMT_table2!H24</f>
        <v>0</v>
      </c>
      <c r="K15" s="282" t="e">
        <f>Qtn_RMT_table2!I24</f>
        <v>#DIV/0!</v>
      </c>
      <c r="L15" s="283" t="e">
        <f>I15*J15*K15</f>
        <v>#DIV/0!</v>
      </c>
    </row>
    <row r="16" spans="3:13" ht="25" customHeight="1">
      <c r="C16" s="233">
        <f>Qtn_table1!B23</f>
        <v>0</v>
      </c>
      <c r="D16" s="234">
        <f>Qtn_RMT_table2!C25</f>
        <v>0</v>
      </c>
      <c r="E16" s="235">
        <f>Qtn_RMT_table2!D25</f>
        <v>0</v>
      </c>
      <c r="F16" s="235">
        <f>Qtn_RMT_table2!E25</f>
        <v>0</v>
      </c>
      <c r="G16" s="475">
        <f>Qtn_RMT_table2!F25</f>
        <v>0</v>
      </c>
      <c r="H16" s="476"/>
      <c r="I16" s="281">
        <f>Qtn_RMT_table2!G25</f>
        <v>0</v>
      </c>
      <c r="J16" s="282">
        <f>Qtn_RMT_table2!H25</f>
        <v>0</v>
      </c>
      <c r="K16" s="282" t="e">
        <f>Qtn_RMT_table2!I25</f>
        <v>#DIV/0!</v>
      </c>
      <c r="L16" s="283" t="e">
        <f t="shared" ref="L16:L28" si="0">I16*J16*K16</f>
        <v>#DIV/0!</v>
      </c>
    </row>
    <row r="17" spans="3:12" ht="25" customHeight="1">
      <c r="C17" s="233">
        <f>Qtn_table1!B24</f>
        <v>0</v>
      </c>
      <c r="D17" s="234">
        <f>Qtn_RMT_table2!C26</f>
        <v>0</v>
      </c>
      <c r="E17" s="235">
        <f>Qtn_RMT_table2!D26</f>
        <v>0</v>
      </c>
      <c r="F17" s="235">
        <f>Qtn_RMT_table2!E26</f>
        <v>0</v>
      </c>
      <c r="G17" s="475">
        <f>Qtn_RMT_table2!F26</f>
        <v>0</v>
      </c>
      <c r="H17" s="476"/>
      <c r="I17" s="281">
        <f>Qtn_RMT_table2!G26</f>
        <v>0</v>
      </c>
      <c r="J17" s="282">
        <f>Qtn_RMT_table2!H26</f>
        <v>0</v>
      </c>
      <c r="K17" s="282" t="e">
        <f>Qtn_RMT_table2!I26</f>
        <v>#DIV/0!</v>
      </c>
      <c r="L17" s="283" t="e">
        <f t="shared" si="0"/>
        <v>#DIV/0!</v>
      </c>
    </row>
    <row r="18" spans="3:12" ht="25" customHeight="1">
      <c r="C18" s="233">
        <f>Qtn_table1!B25</f>
        <v>0</v>
      </c>
      <c r="D18" s="234">
        <f>Qtn_RMT_table2!C27</f>
        <v>0</v>
      </c>
      <c r="E18" s="235">
        <f>Qtn_RMT_table2!D27</f>
        <v>0</v>
      </c>
      <c r="F18" s="235">
        <f>Qtn_RMT_table2!E27</f>
        <v>0</v>
      </c>
      <c r="G18" s="475">
        <f>Qtn_RMT_table2!F27</f>
        <v>0</v>
      </c>
      <c r="H18" s="476"/>
      <c r="I18" s="281">
        <f>Qtn_RMT_table2!G27</f>
        <v>0</v>
      </c>
      <c r="J18" s="282">
        <f>Qtn_RMT_table2!H27</f>
        <v>0</v>
      </c>
      <c r="K18" s="282" t="e">
        <f>Qtn_RMT_table2!I27</f>
        <v>#DIV/0!</v>
      </c>
      <c r="L18" s="283" t="e">
        <f t="shared" si="0"/>
        <v>#DIV/0!</v>
      </c>
    </row>
    <row r="19" spans="3:12" ht="25" customHeight="1">
      <c r="C19" s="233">
        <f>Qtn_table1!B26</f>
        <v>0</v>
      </c>
      <c r="D19" s="234">
        <f>Qtn_RMT_table2!C28</f>
        <v>0</v>
      </c>
      <c r="E19" s="235">
        <f>Qtn_RMT_table2!D28</f>
        <v>0</v>
      </c>
      <c r="F19" s="235">
        <f>Qtn_RMT_table2!E28</f>
        <v>0</v>
      </c>
      <c r="G19" s="475">
        <f>Qtn_RMT_table2!F28</f>
        <v>0</v>
      </c>
      <c r="H19" s="476"/>
      <c r="I19" s="281">
        <f>Qtn_RMT_table2!G28</f>
        <v>0</v>
      </c>
      <c r="J19" s="282">
        <f>Qtn_RMT_table2!H28</f>
        <v>0</v>
      </c>
      <c r="K19" s="282" t="e">
        <f>Qtn_RMT_table2!I28</f>
        <v>#DIV/0!</v>
      </c>
      <c r="L19" s="283" t="e">
        <f t="shared" si="0"/>
        <v>#DIV/0!</v>
      </c>
    </row>
    <row r="20" spans="3:12" ht="25" customHeight="1">
      <c r="C20" s="233">
        <f>Qtn_table1!B27</f>
        <v>0</v>
      </c>
      <c r="D20" s="234">
        <f>Qtn_RMT_table2!C29</f>
        <v>0</v>
      </c>
      <c r="E20" s="235">
        <f>Qtn_RMT_table2!D29</f>
        <v>0</v>
      </c>
      <c r="F20" s="235">
        <f>Qtn_RMT_table2!E29</f>
        <v>0</v>
      </c>
      <c r="G20" s="475">
        <f>Qtn_RMT_table2!F29</f>
        <v>0</v>
      </c>
      <c r="H20" s="476"/>
      <c r="I20" s="281">
        <f>Qtn_RMT_table2!G29</f>
        <v>0</v>
      </c>
      <c r="J20" s="282">
        <f>Qtn_RMT_table2!H29</f>
        <v>0</v>
      </c>
      <c r="K20" s="282" t="e">
        <f>Qtn_RMT_table2!I29</f>
        <v>#DIV/0!</v>
      </c>
      <c r="L20" s="283" t="e">
        <f t="shared" si="0"/>
        <v>#DIV/0!</v>
      </c>
    </row>
    <row r="21" spans="3:12" ht="25" customHeight="1">
      <c r="C21" s="233">
        <f>Qtn_table1!B28</f>
        <v>0</v>
      </c>
      <c r="D21" s="234">
        <f>Qtn_RMT_table2!C30</f>
        <v>0</v>
      </c>
      <c r="E21" s="235">
        <f>Qtn_RMT_table2!D30</f>
        <v>0</v>
      </c>
      <c r="F21" s="235">
        <f>Qtn_RMT_table2!E30</f>
        <v>0</v>
      </c>
      <c r="G21" s="475">
        <f>Qtn_RMT_table2!F30</f>
        <v>0</v>
      </c>
      <c r="H21" s="476"/>
      <c r="I21" s="281">
        <f>Qtn_RMT_table2!G30</f>
        <v>0</v>
      </c>
      <c r="J21" s="282">
        <f>Qtn_RMT_table2!H30</f>
        <v>0</v>
      </c>
      <c r="K21" s="282" t="e">
        <f>Qtn_RMT_table2!I30</f>
        <v>#DIV/0!</v>
      </c>
      <c r="L21" s="283" t="e">
        <f t="shared" si="0"/>
        <v>#DIV/0!</v>
      </c>
    </row>
    <row r="22" spans="3:12" ht="25" customHeight="1">
      <c r="C22" s="233">
        <f>Qtn_table1!B29</f>
        <v>0</v>
      </c>
      <c r="D22" s="234">
        <f>Qtn_RMT_table2!C31</f>
        <v>0</v>
      </c>
      <c r="E22" s="235">
        <f>Qtn_RMT_table2!D31</f>
        <v>0</v>
      </c>
      <c r="F22" s="235">
        <f>Qtn_RMT_table2!E31</f>
        <v>0</v>
      </c>
      <c r="G22" s="475">
        <f>Qtn_RMT_table2!F31</f>
        <v>0</v>
      </c>
      <c r="H22" s="476"/>
      <c r="I22" s="281">
        <f>Qtn_RMT_table2!G31</f>
        <v>0</v>
      </c>
      <c r="J22" s="282">
        <f>Qtn_RMT_table2!H31</f>
        <v>0</v>
      </c>
      <c r="K22" s="282" t="e">
        <f>Qtn_RMT_table2!I31</f>
        <v>#DIV/0!</v>
      </c>
      <c r="L22" s="283" t="e">
        <f t="shared" si="0"/>
        <v>#DIV/0!</v>
      </c>
    </row>
    <row r="23" spans="3:12" ht="25" customHeight="1">
      <c r="C23" s="233">
        <f>Qtn_table1!B30</f>
        <v>0</v>
      </c>
      <c r="D23" s="234">
        <f>Qtn_RMT_table2!C32</f>
        <v>0</v>
      </c>
      <c r="E23" s="235">
        <f>Qtn_RMT_table2!D32</f>
        <v>0</v>
      </c>
      <c r="F23" s="235">
        <f>Qtn_RMT_table2!E32</f>
        <v>0</v>
      </c>
      <c r="G23" s="475">
        <f>Qtn_RMT_table2!F32</f>
        <v>0</v>
      </c>
      <c r="H23" s="476"/>
      <c r="I23" s="281">
        <f>Qtn_RMT_table2!G32</f>
        <v>0</v>
      </c>
      <c r="J23" s="282">
        <f>Qtn_RMT_table2!H32</f>
        <v>0</v>
      </c>
      <c r="K23" s="282" t="e">
        <f>Qtn_RMT_table2!I32</f>
        <v>#DIV/0!</v>
      </c>
      <c r="L23" s="283" t="e">
        <f t="shared" si="0"/>
        <v>#DIV/0!</v>
      </c>
    </row>
    <row r="24" spans="3:12" ht="25" customHeight="1">
      <c r="C24" s="233">
        <f>Qtn_table1!B31</f>
        <v>0</v>
      </c>
      <c r="D24" s="234">
        <f>Qtn_RMT_table2!C33</f>
        <v>0</v>
      </c>
      <c r="E24" s="235">
        <f>Qtn_RMT_table2!D33</f>
        <v>0</v>
      </c>
      <c r="F24" s="235">
        <f>Qtn_RMT_table2!E33</f>
        <v>0</v>
      </c>
      <c r="G24" s="475">
        <f>Qtn_RMT_table2!F33</f>
        <v>0</v>
      </c>
      <c r="H24" s="476"/>
      <c r="I24" s="281">
        <f>Qtn_RMT_table2!G33</f>
        <v>0</v>
      </c>
      <c r="J24" s="282">
        <f>Qtn_RMT_table2!H33</f>
        <v>0</v>
      </c>
      <c r="K24" s="282" t="e">
        <f>Qtn_RMT_table2!I33</f>
        <v>#DIV/0!</v>
      </c>
      <c r="L24" s="283" t="e">
        <f t="shared" si="0"/>
        <v>#DIV/0!</v>
      </c>
    </row>
    <row r="25" spans="3:12" ht="25" customHeight="1">
      <c r="C25" s="233">
        <f>Qtn_table1!B32</f>
        <v>0</v>
      </c>
      <c r="D25" s="234">
        <f>Qtn_RMT_table2!C34</f>
        <v>0</v>
      </c>
      <c r="E25" s="235">
        <f>Qtn_RMT_table2!D34</f>
        <v>0</v>
      </c>
      <c r="F25" s="235">
        <f>Qtn_RMT_table2!E34</f>
        <v>0</v>
      </c>
      <c r="G25" s="475">
        <f>Qtn_RMT_table2!F34</f>
        <v>0</v>
      </c>
      <c r="H25" s="476"/>
      <c r="I25" s="281">
        <f>Qtn_RMT_table2!G34</f>
        <v>0</v>
      </c>
      <c r="J25" s="282">
        <f>Qtn_RMT_table2!H34</f>
        <v>0</v>
      </c>
      <c r="K25" s="282" t="e">
        <f>Qtn_RMT_table2!I34</f>
        <v>#DIV/0!</v>
      </c>
      <c r="L25" s="283" t="e">
        <f t="shared" si="0"/>
        <v>#DIV/0!</v>
      </c>
    </row>
    <row r="26" spans="3:12" ht="25" customHeight="1">
      <c r="C26" s="233">
        <f>Qtn_table1!B33</f>
        <v>0</v>
      </c>
      <c r="D26" s="234">
        <f>Qtn_RMT_table2!C35</f>
        <v>0</v>
      </c>
      <c r="E26" s="235">
        <f>Qtn_RMT_table2!D35</f>
        <v>0</v>
      </c>
      <c r="F26" s="235">
        <f>Qtn_RMT_table2!E35</f>
        <v>0</v>
      </c>
      <c r="G26" s="475">
        <f>Qtn_RMT_table2!F35</f>
        <v>0</v>
      </c>
      <c r="H26" s="476"/>
      <c r="I26" s="281">
        <f>Qtn_RMT_table2!G35</f>
        <v>0</v>
      </c>
      <c r="J26" s="282">
        <f>Qtn_RMT_table2!H35</f>
        <v>0</v>
      </c>
      <c r="K26" s="282" t="e">
        <f>Qtn_RMT_table2!I35</f>
        <v>#DIV/0!</v>
      </c>
      <c r="L26" s="283" t="e">
        <f t="shared" si="0"/>
        <v>#DIV/0!</v>
      </c>
    </row>
    <row r="27" spans="3:12" ht="25" customHeight="1">
      <c r="C27" s="233">
        <f>Qtn_table1!B34</f>
        <v>0</v>
      </c>
      <c r="D27" s="234">
        <f>Qtn_RMT_table2!C36</f>
        <v>0</v>
      </c>
      <c r="E27" s="235">
        <f>Qtn_RMT_table2!D36</f>
        <v>0</v>
      </c>
      <c r="F27" s="235">
        <f>Qtn_RMT_table2!E36</f>
        <v>0</v>
      </c>
      <c r="G27" s="475">
        <f>Qtn_RMT_table2!F36</f>
        <v>0</v>
      </c>
      <c r="H27" s="476"/>
      <c r="I27" s="281">
        <f>Qtn_RMT_table2!G36</f>
        <v>0</v>
      </c>
      <c r="J27" s="282">
        <f>Qtn_RMT_table2!H36</f>
        <v>0</v>
      </c>
      <c r="K27" s="282" t="e">
        <f>Qtn_RMT_table2!I36</f>
        <v>#DIV/0!</v>
      </c>
      <c r="L27" s="283" t="e">
        <f t="shared" si="0"/>
        <v>#DIV/0!</v>
      </c>
    </row>
    <row r="28" spans="3:12" ht="25" customHeight="1">
      <c r="C28" s="233">
        <f>Qtn_table1!B35</f>
        <v>0</v>
      </c>
      <c r="D28" s="234">
        <f>Qtn_RMT_table2!C37</f>
        <v>0</v>
      </c>
      <c r="E28" s="235">
        <f>Qtn_RMT_table2!D37</f>
        <v>0</v>
      </c>
      <c r="F28" s="235">
        <f>Qtn_RMT_table2!E37</f>
        <v>0</v>
      </c>
      <c r="G28" s="475">
        <f>Qtn_RMT_table2!F37</f>
        <v>0</v>
      </c>
      <c r="H28" s="476"/>
      <c r="I28" s="281">
        <f>Qtn_RMT_table2!G37</f>
        <v>0</v>
      </c>
      <c r="J28" s="282">
        <f>Qtn_RMT_table2!H37</f>
        <v>0</v>
      </c>
      <c r="K28" s="282" t="e">
        <f>Qtn_RMT_table2!I37</f>
        <v>#DIV/0!</v>
      </c>
      <c r="L28" s="283" t="e">
        <f t="shared" si="0"/>
        <v>#DIV/0!</v>
      </c>
    </row>
    <row r="29" spans="3:12" ht="25" customHeight="1">
      <c r="C29" s="233">
        <f>Qtn_table1!B36</f>
        <v>0</v>
      </c>
      <c r="D29" s="234">
        <f>Qtn_RMT_table2!C38</f>
        <v>0</v>
      </c>
      <c r="E29" s="235">
        <f>Qtn_RMT_table2!D38</f>
        <v>0</v>
      </c>
      <c r="F29" s="235">
        <f>Qtn_RMT_table2!E38</f>
        <v>0</v>
      </c>
      <c r="G29" s="475">
        <f>Qtn_RMT_table2!F38</f>
        <v>0</v>
      </c>
      <c r="H29" s="476"/>
      <c r="I29" s="281">
        <f>Qtn_RMT_table2!G38</f>
        <v>0</v>
      </c>
      <c r="J29" s="282">
        <f>Qtn_RMT_table2!H38</f>
        <v>0</v>
      </c>
      <c r="K29" s="282" t="e">
        <f>Qtn_RMT_table2!I38</f>
        <v>#DIV/0!</v>
      </c>
      <c r="L29" s="283" t="e">
        <f>I29*J29*K29</f>
        <v>#DIV/0!</v>
      </c>
    </row>
    <row r="30" spans="3:12" ht="25" customHeight="1">
      <c r="C30" s="233">
        <f>Qtn_table1!B37</f>
        <v>0</v>
      </c>
      <c r="D30" s="234">
        <f>Qtn_RMT_table2!C39</f>
        <v>0</v>
      </c>
      <c r="E30" s="235">
        <f>Qtn_RMT_table2!D39</f>
        <v>0</v>
      </c>
      <c r="F30" s="235">
        <f>Qtn_RMT_table2!E39</f>
        <v>0</v>
      </c>
      <c r="G30" s="475">
        <f>Qtn_RMT_table2!F39</f>
        <v>0</v>
      </c>
      <c r="H30" s="476"/>
      <c r="I30" s="281">
        <f>Qtn_RMT_table2!G39</f>
        <v>0</v>
      </c>
      <c r="J30" s="282">
        <f>Qtn_RMT_table2!H39</f>
        <v>0</v>
      </c>
      <c r="K30" s="282" t="e">
        <f>Qtn_RMT_table2!I39</f>
        <v>#DIV/0!</v>
      </c>
      <c r="L30" s="283" t="e">
        <f>I30*J30*K30</f>
        <v>#DIV/0!</v>
      </c>
    </row>
    <row r="31" spans="3:12" ht="25" customHeight="1">
      <c r="C31" s="233">
        <f>Qtn_table1!B38</f>
        <v>0</v>
      </c>
      <c r="D31" s="234">
        <f>Qtn_RMT_table2!C40</f>
        <v>0</v>
      </c>
      <c r="E31" s="235">
        <f>Qtn_RMT_table2!D40</f>
        <v>0</v>
      </c>
      <c r="F31" s="235">
        <f>Qtn_RMT_table2!E40</f>
        <v>0</v>
      </c>
      <c r="G31" s="475">
        <f>Qtn_RMT_table2!F40</f>
        <v>0</v>
      </c>
      <c r="H31" s="476"/>
      <c r="I31" s="281">
        <f>Qtn_RMT_table2!G40</f>
        <v>0</v>
      </c>
      <c r="J31" s="282">
        <f>Qtn_RMT_table2!H40</f>
        <v>0</v>
      </c>
      <c r="K31" s="282" t="e">
        <f>Qtn_RMT_table2!I40</f>
        <v>#DIV/0!</v>
      </c>
      <c r="L31" s="283" t="e">
        <f>I31*J31*K31</f>
        <v>#DIV/0!</v>
      </c>
    </row>
    <row r="32" spans="3:12" ht="25" customHeight="1">
      <c r="C32" s="233" t="str">
        <f>Qtn_table1!B39</f>
        <v xml:space="preserve">  </v>
      </c>
      <c r="D32" s="234">
        <f>Qtn_RMT_table2!C41</f>
        <v>0</v>
      </c>
      <c r="E32" s="235">
        <f>Qtn_RMT_table2!D41</f>
        <v>0</v>
      </c>
      <c r="F32" s="235">
        <f>Qtn_RMT_table2!E41</f>
        <v>0</v>
      </c>
      <c r="G32" s="475">
        <f>Qtn_RMT_table2!F41</f>
        <v>0</v>
      </c>
      <c r="H32" s="476"/>
      <c r="I32" s="341">
        <f>Qtn_RMT_table2!G41</f>
        <v>0</v>
      </c>
      <c r="J32" s="342">
        <f>Qtn_RMT_table2!H41</f>
        <v>0</v>
      </c>
      <c r="K32" s="342" t="e">
        <f>Qtn_RMT_table2!I41</f>
        <v>#DIV/0!</v>
      </c>
      <c r="L32" s="343" t="e">
        <f>I32*J32*K32</f>
        <v>#DIV/0!</v>
      </c>
    </row>
    <row r="33" spans="3:12" ht="25" customHeight="1">
      <c r="C33" s="477"/>
      <c r="D33" s="478"/>
      <c r="E33" s="478"/>
      <c r="F33" s="478"/>
      <c r="G33" s="478"/>
      <c r="H33" s="478"/>
      <c r="I33" s="473" t="s">
        <v>76</v>
      </c>
      <c r="J33" s="474"/>
      <c r="K33" s="474"/>
      <c r="L33" s="238" t="e">
        <f>SUM(L15:L32)</f>
        <v>#DIV/0!</v>
      </c>
    </row>
    <row r="34" spans="3:12" ht="25" customHeight="1">
      <c r="C34" s="226"/>
      <c r="D34" s="239"/>
      <c r="E34" s="500"/>
      <c r="F34" s="500"/>
      <c r="G34" s="500"/>
      <c r="H34" s="239"/>
      <c r="I34" s="496" t="s">
        <v>240</v>
      </c>
      <c r="J34" s="497"/>
      <c r="K34" s="497"/>
      <c r="L34" s="240" t="e">
        <f>L33*0.09</f>
        <v>#DIV/0!</v>
      </c>
    </row>
    <row r="35" spans="3:12" ht="25" customHeight="1">
      <c r="C35" s="504" t="s">
        <v>183</v>
      </c>
      <c r="D35" s="505"/>
      <c r="E35" s="506"/>
      <c r="F35" s="241"/>
      <c r="G35" s="242" t="s">
        <v>208</v>
      </c>
      <c r="H35" s="242"/>
      <c r="I35" s="496" t="s">
        <v>241</v>
      </c>
      <c r="J35" s="497"/>
      <c r="K35" s="497"/>
      <c r="L35" s="240" t="e">
        <f>L33*0.09</f>
        <v>#DIV/0!</v>
      </c>
    </row>
    <row r="36" spans="3:12" ht="25" customHeight="1">
      <c r="C36" s="243" t="s">
        <v>182</v>
      </c>
      <c r="D36" s="257"/>
      <c r="E36" s="258"/>
      <c r="F36" s="251"/>
      <c r="G36" s="239"/>
      <c r="H36" s="239"/>
      <c r="I36" s="508" t="s">
        <v>249</v>
      </c>
      <c r="J36" s="464"/>
      <c r="K36" s="464"/>
      <c r="L36" s="340" t="e">
        <f>SUM(L33:L35)</f>
        <v>#DIV/0!</v>
      </c>
    </row>
    <row r="37" spans="3:12" ht="22.5" customHeight="1">
      <c r="C37" s="244" t="s">
        <v>215</v>
      </c>
      <c r="D37" s="259"/>
      <c r="E37" s="260"/>
      <c r="F37" s="257"/>
      <c r="G37" s="246"/>
      <c r="H37" s="247"/>
      <c r="I37" s="509" t="s">
        <v>77</v>
      </c>
      <c r="J37" s="509"/>
      <c r="K37" s="510"/>
      <c r="L37" s="339" t="e">
        <f>SUM(L34:L36)</f>
        <v>#DIV/0!</v>
      </c>
    </row>
    <row r="38" spans="3:12" ht="18.75" customHeight="1">
      <c r="C38" s="244" t="s">
        <v>237</v>
      </c>
      <c r="D38" s="261"/>
      <c r="E38" s="260"/>
      <c r="F38" s="251"/>
      <c r="G38" s="248"/>
      <c r="H38" s="229"/>
      <c r="I38" s="239"/>
      <c r="J38" s="239"/>
      <c r="K38" s="239"/>
      <c r="L38" s="229"/>
    </row>
    <row r="39" spans="3:12" ht="19.5" customHeight="1">
      <c r="C39" s="249" t="s">
        <v>181</v>
      </c>
      <c r="D39" s="250"/>
      <c r="E39" s="262"/>
      <c r="F39" s="251"/>
      <c r="G39" s="245"/>
      <c r="H39" s="252"/>
      <c r="I39" s="478" t="s">
        <v>207</v>
      </c>
      <c r="J39" s="478"/>
      <c r="K39" s="478"/>
      <c r="L39" s="507"/>
    </row>
    <row r="40" spans="3:12" ht="18.75" customHeight="1">
      <c r="C40" s="501" t="s">
        <v>180</v>
      </c>
      <c r="D40" s="502"/>
      <c r="E40" s="503"/>
      <c r="F40" s="251"/>
      <c r="G40" s="245"/>
      <c r="H40" s="253"/>
      <c r="I40" s="239"/>
      <c r="J40" s="239"/>
      <c r="K40" s="204"/>
      <c r="L40" s="229"/>
    </row>
    <row r="41" spans="3:12" ht="24" customHeight="1">
      <c r="C41" s="244" t="s">
        <v>99</v>
      </c>
      <c r="D41" s="263"/>
      <c r="E41" s="260"/>
      <c r="F41" s="251"/>
      <c r="G41" s="245"/>
      <c r="H41" s="252"/>
      <c r="I41" s="239"/>
      <c r="J41" s="239"/>
      <c r="K41" s="204"/>
      <c r="L41" s="229"/>
    </row>
    <row r="42" spans="3:12" ht="24.65" customHeight="1">
      <c r="C42" s="249" t="s">
        <v>100</v>
      </c>
      <c r="D42" s="250"/>
      <c r="E42" s="262"/>
      <c r="F42" s="254"/>
      <c r="G42" s="255"/>
      <c r="H42" s="256"/>
      <c r="I42" s="498" t="s">
        <v>74</v>
      </c>
      <c r="J42" s="498"/>
      <c r="K42" s="498"/>
      <c r="L42" s="499"/>
    </row>
    <row r="43" spans="3:12">
      <c r="I43" s="27"/>
      <c r="J43" s="27"/>
      <c r="K43" s="29"/>
      <c r="L43" s="27"/>
    </row>
    <row r="44" spans="3:12">
      <c r="I44" s="28"/>
      <c r="J44" s="28"/>
      <c r="K44" s="30"/>
      <c r="L44" s="28"/>
    </row>
    <row r="45" spans="3:12">
      <c r="I45" s="27"/>
      <c r="J45" s="27"/>
      <c r="K45" s="29"/>
      <c r="L45" s="27"/>
    </row>
    <row r="46" spans="3:12" ht="15.5">
      <c r="E46" s="100"/>
      <c r="F46" s="101"/>
      <c r="I46" s="3"/>
      <c r="J46" s="3"/>
      <c r="K46" s="26"/>
      <c r="L46" s="3"/>
    </row>
    <row r="47" spans="3:12" ht="15.5">
      <c r="E47" s="495"/>
      <c r="F47" s="495"/>
      <c r="I47" s="31"/>
      <c r="J47" s="31"/>
      <c r="K47" s="32"/>
      <c r="L47" s="31"/>
    </row>
    <row r="48" spans="3:12" ht="15.5">
      <c r="E48" s="100"/>
      <c r="F48" s="100"/>
    </row>
    <row r="49" spans="5:6" ht="15.5">
      <c r="E49" s="100"/>
      <c r="F49" s="100"/>
    </row>
    <row r="50" spans="5:6" ht="15.5">
      <c r="E50" s="100"/>
      <c r="F50" s="100"/>
    </row>
    <row r="51" spans="5:6" ht="15.5">
      <c r="E51" s="100"/>
      <c r="F51" s="101"/>
    </row>
  </sheetData>
  <mergeCells count="47">
    <mergeCell ref="F5:H5"/>
    <mergeCell ref="K5:L5"/>
    <mergeCell ref="F2:H2"/>
    <mergeCell ref="K2:L2"/>
    <mergeCell ref="C3:E3"/>
    <mergeCell ref="F3:H3"/>
    <mergeCell ref="F4:H4"/>
    <mergeCell ref="E6:G6"/>
    <mergeCell ref="I6:K6"/>
    <mergeCell ref="D7:G10"/>
    <mergeCell ref="I8:L8"/>
    <mergeCell ref="I9:L9"/>
    <mergeCell ref="I10:L10"/>
    <mergeCell ref="D11:G11"/>
    <mergeCell ref="I11:L11"/>
    <mergeCell ref="G13:H13"/>
    <mergeCell ref="G15:H15"/>
    <mergeCell ref="G16:H16"/>
    <mergeCell ref="E47:F47"/>
    <mergeCell ref="G14:H14"/>
    <mergeCell ref="G31:H31"/>
    <mergeCell ref="C35:E35"/>
    <mergeCell ref="G30:H30"/>
    <mergeCell ref="E34:G34"/>
    <mergeCell ref="C33:H33"/>
    <mergeCell ref="G27:H27"/>
    <mergeCell ref="G28:H28"/>
    <mergeCell ref="G21:H21"/>
    <mergeCell ref="G24:H24"/>
    <mergeCell ref="G25:H25"/>
    <mergeCell ref="G26:H26"/>
    <mergeCell ref="I35:K35"/>
    <mergeCell ref="I36:K36"/>
    <mergeCell ref="C40:E40"/>
    <mergeCell ref="I42:L42"/>
    <mergeCell ref="I39:L39"/>
    <mergeCell ref="I37:K37"/>
    <mergeCell ref="I34:K34"/>
    <mergeCell ref="G17:H17"/>
    <mergeCell ref="G29:H29"/>
    <mergeCell ref="G18:H18"/>
    <mergeCell ref="G19:H19"/>
    <mergeCell ref="G32:H32"/>
    <mergeCell ref="I33:K33"/>
    <mergeCell ref="G22:H22"/>
    <mergeCell ref="G23:H23"/>
    <mergeCell ref="G20:H20"/>
  </mergeCells>
  <printOptions horizontalCentered="1"/>
  <pageMargins left="0.51181102362204722" right="0" top="0.51181102362204722" bottom="0.23622047244094491" header="0" footer="0"/>
  <pageSetup paperSize="9" scale="6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T45"/>
  <sheetViews>
    <sheetView view="pageBreakPreview" zoomScaleSheetLayoutView="100" workbookViewId="0">
      <selection activeCell="E4" sqref="E4:F4"/>
    </sheetView>
  </sheetViews>
  <sheetFormatPr defaultRowHeight="14.5"/>
  <cols>
    <col min="2" max="2" width="4.453125" customWidth="1"/>
    <col min="3" max="3" width="51.1796875" customWidth="1"/>
    <col min="4" max="4" width="10.453125" customWidth="1"/>
    <col min="5" max="5" width="13.81640625" bestFit="1" customWidth="1"/>
    <col min="6" max="6" width="8.1796875" bestFit="1" customWidth="1"/>
    <col min="7" max="7" width="10.7265625" customWidth="1"/>
    <col min="8" max="8" width="8.26953125" customWidth="1"/>
    <col min="9" max="9" width="8.7265625" customWidth="1"/>
    <col min="12" max="12" width="5" customWidth="1"/>
    <col min="13" max="13" width="13" customWidth="1"/>
    <col min="14" max="14" width="8" customWidth="1"/>
    <col min="16" max="16" width="9.1796875" customWidth="1"/>
    <col min="17" max="17" width="16.453125" customWidth="1"/>
    <col min="19" max="19" width="6.81640625" customWidth="1"/>
    <col min="20" max="20" width="10.81640625" customWidth="1"/>
  </cols>
  <sheetData>
    <row r="1" spans="2:20" ht="19.5" customHeight="1">
      <c r="B1" s="584" t="s">
        <v>161</v>
      </c>
      <c r="C1" s="585"/>
      <c r="D1" s="585"/>
      <c r="E1" s="585"/>
      <c r="F1" s="585"/>
      <c r="G1" s="585"/>
      <c r="H1" s="585"/>
      <c r="I1" s="586"/>
    </row>
    <row r="2" spans="2:20" ht="10.5" customHeight="1">
      <c r="B2" s="113"/>
      <c r="I2" s="116"/>
    </row>
    <row r="3" spans="2:20" ht="18" customHeight="1">
      <c r="B3" s="587" t="s">
        <v>160</v>
      </c>
      <c r="C3" s="588"/>
      <c r="D3" s="589"/>
      <c r="E3" s="551" t="s">
        <v>159</v>
      </c>
      <c r="F3" s="552"/>
      <c r="G3" s="551" t="s">
        <v>144</v>
      </c>
      <c r="H3" s="553"/>
      <c r="I3" s="552"/>
      <c r="L3" s="511" t="s">
        <v>133</v>
      </c>
      <c r="M3" s="512"/>
      <c r="N3" s="512"/>
      <c r="O3" s="512"/>
      <c r="P3" s="512"/>
      <c r="Q3" s="513"/>
      <c r="R3" s="147" t="s">
        <v>132</v>
      </c>
    </row>
    <row r="4" spans="2:20" ht="18" customHeight="1">
      <c r="B4" s="548" t="s">
        <v>158</v>
      </c>
      <c r="C4" s="549"/>
      <c r="D4" s="550"/>
      <c r="E4" s="590">
        <v>6000</v>
      </c>
      <c r="F4" s="591"/>
      <c r="G4" s="592" t="s">
        <v>162</v>
      </c>
      <c r="H4" s="593"/>
      <c r="I4" s="594"/>
      <c r="L4" s="144" t="s">
        <v>157</v>
      </c>
      <c r="M4" s="143"/>
      <c r="N4" s="143"/>
      <c r="O4" s="143"/>
      <c r="P4" s="143"/>
      <c r="Q4" s="143"/>
      <c r="R4" s="129">
        <v>998860</v>
      </c>
    </row>
    <row r="5" spans="2:20" ht="18" customHeight="1">
      <c r="B5" s="548" t="s">
        <v>156</v>
      </c>
      <c r="C5" s="549"/>
      <c r="D5" s="550"/>
      <c r="E5" s="551" t="s">
        <v>155</v>
      </c>
      <c r="F5" s="552"/>
      <c r="G5" s="551" t="s">
        <v>154</v>
      </c>
      <c r="H5" s="553"/>
      <c r="I5" s="552"/>
      <c r="L5" s="113"/>
      <c r="R5" s="131"/>
    </row>
    <row r="6" spans="2:20" ht="18" customHeight="1">
      <c r="B6" s="548" t="s">
        <v>153</v>
      </c>
      <c r="C6" s="549"/>
      <c r="D6" s="550"/>
      <c r="E6" s="548"/>
      <c r="F6" s="550"/>
      <c r="G6" s="578"/>
      <c r="H6" s="579"/>
      <c r="I6" s="580"/>
      <c r="L6" s="144" t="s">
        <v>152</v>
      </c>
      <c r="M6" s="143"/>
      <c r="N6" s="143"/>
      <c r="O6" s="143"/>
      <c r="P6" s="143"/>
      <c r="Q6" s="143"/>
      <c r="R6" s="129">
        <v>998853</v>
      </c>
    </row>
    <row r="7" spans="2:20" ht="18" customHeight="1">
      <c r="B7" s="548" t="s">
        <v>151</v>
      </c>
      <c r="C7" s="549"/>
      <c r="D7" s="550"/>
      <c r="E7" s="146" t="s">
        <v>150</v>
      </c>
      <c r="F7" s="145"/>
      <c r="G7" s="581" t="s">
        <v>149</v>
      </c>
      <c r="H7" s="582"/>
      <c r="I7" s="583"/>
      <c r="L7" s="113"/>
      <c r="R7" s="131"/>
    </row>
    <row r="8" spans="2:20" ht="18" customHeight="1" thickBot="1">
      <c r="B8" s="557" t="s">
        <v>148</v>
      </c>
      <c r="C8" s="558"/>
      <c r="D8" s="559"/>
      <c r="E8" s="567"/>
      <c r="F8" s="568"/>
      <c r="G8" s="560"/>
      <c r="H8" s="561"/>
      <c r="I8" s="562"/>
      <c r="L8" s="144" t="s">
        <v>147</v>
      </c>
      <c r="M8" s="143"/>
      <c r="N8" s="143"/>
      <c r="O8" s="143"/>
      <c r="P8" s="143"/>
      <c r="Q8" s="143"/>
      <c r="R8" s="129">
        <v>998898</v>
      </c>
    </row>
    <row r="9" spans="2:20" ht="18" customHeight="1">
      <c r="B9" s="572" t="s">
        <v>146</v>
      </c>
      <c r="C9" s="573"/>
      <c r="D9" s="574"/>
      <c r="E9" s="575" t="s">
        <v>145</v>
      </c>
      <c r="F9" s="576"/>
      <c r="G9" s="575" t="s">
        <v>144</v>
      </c>
      <c r="H9" s="576"/>
      <c r="I9" s="577"/>
      <c r="L9" s="113"/>
      <c r="R9" s="131"/>
    </row>
    <row r="10" spans="2:20" ht="18" customHeight="1">
      <c r="B10" s="569"/>
      <c r="C10" s="570"/>
      <c r="D10" s="571"/>
      <c r="E10" s="548"/>
      <c r="F10" s="549"/>
      <c r="G10" s="554"/>
      <c r="H10" s="556"/>
      <c r="I10" s="555"/>
      <c r="L10" s="144" t="s">
        <v>143</v>
      </c>
      <c r="M10" s="143"/>
      <c r="N10" s="143"/>
      <c r="O10" s="143"/>
      <c r="P10" s="143"/>
      <c r="Q10" s="143"/>
      <c r="R10" s="129"/>
    </row>
    <row r="11" spans="2:20" ht="18" customHeight="1">
      <c r="B11" s="548"/>
      <c r="C11" s="549"/>
      <c r="D11" s="550"/>
      <c r="E11" s="551" t="s">
        <v>142</v>
      </c>
      <c r="F11" s="552"/>
      <c r="G11" s="551" t="s">
        <v>141</v>
      </c>
      <c r="H11" s="553"/>
      <c r="I11" s="552"/>
      <c r="L11" s="113"/>
      <c r="R11" s="131"/>
    </row>
    <row r="12" spans="2:20" ht="18" customHeight="1">
      <c r="B12" s="548"/>
      <c r="C12" s="549"/>
      <c r="D12" s="550"/>
      <c r="E12" s="554"/>
      <c r="F12" s="555"/>
      <c r="G12" s="554"/>
      <c r="H12" s="556"/>
      <c r="I12" s="555"/>
      <c r="L12" s="144" t="s">
        <v>140</v>
      </c>
      <c r="M12" s="143"/>
      <c r="N12" s="143"/>
      <c r="O12" s="143"/>
      <c r="P12" s="143"/>
      <c r="Q12" s="143"/>
      <c r="R12" s="129"/>
    </row>
    <row r="13" spans="2:20" ht="18" customHeight="1">
      <c r="B13" s="548" t="s">
        <v>139</v>
      </c>
      <c r="C13" s="549"/>
      <c r="D13" s="550"/>
      <c r="E13" s="551" t="s">
        <v>138</v>
      </c>
      <c r="F13" s="552"/>
      <c r="G13" s="551" t="s">
        <v>137</v>
      </c>
      <c r="H13" s="553"/>
      <c r="I13" s="552"/>
    </row>
    <row r="14" spans="2:20" ht="18" customHeight="1">
      <c r="B14" s="548" t="s">
        <v>136</v>
      </c>
      <c r="C14" s="549"/>
      <c r="D14" s="550"/>
      <c r="E14" s="554"/>
      <c r="F14" s="555"/>
      <c r="G14" s="554"/>
      <c r="H14" s="556"/>
      <c r="I14" s="555"/>
    </row>
    <row r="15" spans="2:20" ht="29.25" customHeight="1" thickBot="1">
      <c r="B15" s="557"/>
      <c r="C15" s="558"/>
      <c r="D15" s="559"/>
      <c r="E15" s="560" t="s">
        <v>135</v>
      </c>
      <c r="F15" s="561"/>
      <c r="G15" s="561"/>
      <c r="H15" s="561"/>
      <c r="I15" s="562"/>
      <c r="L15" s="150" t="s">
        <v>163</v>
      </c>
      <c r="M15" s="150"/>
      <c r="N15" s="150"/>
      <c r="O15" s="150"/>
      <c r="P15" s="150"/>
    </row>
    <row r="16" spans="2:20" ht="30" customHeight="1">
      <c r="B16" s="142" t="s">
        <v>134</v>
      </c>
      <c r="C16" s="141" t="s">
        <v>133</v>
      </c>
      <c r="D16" s="141" t="s">
        <v>132</v>
      </c>
      <c r="E16" s="141" t="s">
        <v>131</v>
      </c>
      <c r="F16" s="141" t="s">
        <v>119</v>
      </c>
      <c r="G16" s="141" t="s">
        <v>130</v>
      </c>
      <c r="H16" s="516" t="s">
        <v>118</v>
      </c>
      <c r="I16" s="517"/>
      <c r="L16" s="39" t="s">
        <v>41</v>
      </c>
      <c r="M16" s="106" t="s">
        <v>18</v>
      </c>
      <c r="N16" s="39" t="s">
        <v>2</v>
      </c>
      <c r="O16" s="39" t="s">
        <v>64</v>
      </c>
      <c r="P16" s="522" t="s">
        <v>21</v>
      </c>
      <c r="Q16" s="523"/>
      <c r="R16" s="39" t="s">
        <v>67</v>
      </c>
      <c r="S16" s="39" t="s">
        <v>93</v>
      </c>
      <c r="T16" s="45" t="s">
        <v>61</v>
      </c>
    </row>
    <row r="17" spans="2:20" ht="21.75" customHeight="1">
      <c r="B17" s="140">
        <v>1</v>
      </c>
      <c r="C17" s="140"/>
      <c r="D17" s="140"/>
      <c r="E17" s="139"/>
      <c r="F17" s="138"/>
      <c r="G17" s="137" t="s">
        <v>129</v>
      </c>
      <c r="H17" s="518">
        <f t="shared" ref="H17:H25" si="0">E17*F17</f>
        <v>0</v>
      </c>
      <c r="I17" s="519"/>
      <c r="L17" s="46">
        <f>'Job Proforma'!C15</f>
        <v>1</v>
      </c>
      <c r="M17" s="46">
        <f>'Job Proforma'!D15</f>
        <v>0</v>
      </c>
      <c r="N17" s="46">
        <f>'Job Proforma'!E15</f>
        <v>0</v>
      </c>
      <c r="O17" s="46">
        <f>'Job Proforma'!F15</f>
        <v>0</v>
      </c>
      <c r="P17" s="520" t="e">
        <f>'Job Proforma'!G15:H15</f>
        <v>#VALUE!</v>
      </c>
      <c r="Q17" s="521"/>
      <c r="R17" s="40" t="e">
        <f>'Job Proforma'!I15</f>
        <v>#DIV/0!</v>
      </c>
      <c r="S17" s="40">
        <f>'Job Proforma'!J15</f>
        <v>0</v>
      </c>
      <c r="T17" s="40" t="e">
        <f>'Job Proforma'!K15</f>
        <v>#DIV/0!</v>
      </c>
    </row>
    <row r="18" spans="2:20" ht="21.75" customHeight="1">
      <c r="B18" s="131"/>
      <c r="C18" s="131"/>
      <c r="D18" s="131"/>
      <c r="E18" s="136"/>
      <c r="F18" s="135"/>
      <c r="G18" s="134" t="s">
        <v>129</v>
      </c>
      <c r="H18" s="514">
        <f t="shared" si="0"/>
        <v>0</v>
      </c>
      <c r="I18" s="515"/>
      <c r="L18" s="46">
        <f>'Job Proforma'!C16</f>
        <v>0</v>
      </c>
      <c r="M18" s="46">
        <f>'Job Proforma'!D16</f>
        <v>0</v>
      </c>
      <c r="N18" s="46">
        <f>'Job Proforma'!E16</f>
        <v>0</v>
      </c>
      <c r="O18" s="46">
        <f>'Job Proforma'!F16</f>
        <v>0</v>
      </c>
      <c r="P18" s="520" t="e">
        <f>'Job Proforma'!G16:H16</f>
        <v>#VALUE!</v>
      </c>
      <c r="Q18" s="521"/>
      <c r="R18" s="40" t="e">
        <f>'Job Proforma'!I16</f>
        <v>#DIV/0!</v>
      </c>
      <c r="S18" s="40">
        <f>'Job Proforma'!J16</f>
        <v>0</v>
      </c>
      <c r="T18" s="40" t="e">
        <f>'Job Proforma'!K16</f>
        <v>#DIV/0!</v>
      </c>
    </row>
    <row r="19" spans="2:20" ht="21.75" customHeight="1">
      <c r="B19" s="131"/>
      <c r="C19" s="131"/>
      <c r="D19" s="131"/>
      <c r="E19" s="136"/>
      <c r="F19" s="135"/>
      <c r="G19" s="134" t="s">
        <v>129</v>
      </c>
      <c r="H19" s="514">
        <f t="shared" si="0"/>
        <v>0</v>
      </c>
      <c r="I19" s="515"/>
      <c r="L19" s="46">
        <f>'Job Proforma'!C17</f>
        <v>0</v>
      </c>
      <c r="M19" s="46">
        <f>'Job Proforma'!D17</f>
        <v>0</v>
      </c>
      <c r="N19" s="46">
        <f>'Job Proforma'!E17</f>
        <v>0</v>
      </c>
      <c r="O19" s="46">
        <f>'Job Proforma'!F17</f>
        <v>0</v>
      </c>
      <c r="P19" s="520" t="e">
        <f>'Job Proforma'!G17:H17</f>
        <v>#VALUE!</v>
      </c>
      <c r="Q19" s="521"/>
      <c r="R19" s="40" t="e">
        <f>'Job Proforma'!I17</f>
        <v>#DIV/0!</v>
      </c>
      <c r="S19" s="40">
        <f>'Job Proforma'!J17</f>
        <v>0</v>
      </c>
      <c r="T19" s="40" t="e">
        <f>'Job Proforma'!K17</f>
        <v>#DIV/0!</v>
      </c>
    </row>
    <row r="20" spans="2:20" ht="21.75" customHeight="1">
      <c r="B20" s="131"/>
      <c r="C20" s="131"/>
      <c r="D20" s="131"/>
      <c r="E20" s="136"/>
      <c r="F20" s="135"/>
      <c r="G20" s="134" t="s">
        <v>129</v>
      </c>
      <c r="H20" s="514">
        <f t="shared" si="0"/>
        <v>0</v>
      </c>
      <c r="I20" s="515"/>
      <c r="L20" s="46">
        <f>'Job Proforma'!C18</f>
        <v>0</v>
      </c>
      <c r="M20" s="46">
        <f>'Job Proforma'!D18</f>
        <v>0</v>
      </c>
      <c r="N20" s="46">
        <f>'Job Proforma'!E18</f>
        <v>0</v>
      </c>
      <c r="O20" s="46">
        <f>'Job Proforma'!F18</f>
        <v>0</v>
      </c>
      <c r="P20" s="520" t="e">
        <f>'Job Proforma'!G18:H18</f>
        <v>#VALUE!</v>
      </c>
      <c r="Q20" s="521"/>
      <c r="R20" s="40" t="e">
        <f>'Job Proforma'!I18</f>
        <v>#DIV/0!</v>
      </c>
      <c r="S20" s="40">
        <f>'Job Proforma'!J18</f>
        <v>0</v>
      </c>
      <c r="T20" s="40" t="e">
        <f>'Job Proforma'!K18</f>
        <v>#DIV/0!</v>
      </c>
    </row>
    <row r="21" spans="2:20" ht="21.75" customHeight="1">
      <c r="B21" s="131"/>
      <c r="C21" s="131"/>
      <c r="D21" s="131"/>
      <c r="E21" s="136"/>
      <c r="F21" s="135"/>
      <c r="G21" s="134" t="s">
        <v>129</v>
      </c>
      <c r="H21" s="514">
        <f t="shared" si="0"/>
        <v>0</v>
      </c>
      <c r="I21" s="515"/>
      <c r="L21" s="46">
        <f>'Job Proforma'!C19</f>
        <v>0</v>
      </c>
      <c r="M21" s="46">
        <f>'Job Proforma'!D19</f>
        <v>0</v>
      </c>
      <c r="N21" s="46">
        <f>'Job Proforma'!E19</f>
        <v>0</v>
      </c>
      <c r="O21" s="46">
        <f>'Job Proforma'!F19</f>
        <v>0</v>
      </c>
      <c r="P21" s="520" t="e">
        <f>'Job Proforma'!G19:H19</f>
        <v>#VALUE!</v>
      </c>
      <c r="Q21" s="521"/>
      <c r="R21" s="40" t="e">
        <f>'Job Proforma'!I19</f>
        <v>#DIV/0!</v>
      </c>
      <c r="S21" s="40">
        <f>'Job Proforma'!J19</f>
        <v>0</v>
      </c>
      <c r="T21" s="40" t="e">
        <f>'Job Proforma'!K19</f>
        <v>#DIV/0!</v>
      </c>
    </row>
    <row r="22" spans="2:20" ht="21.75" customHeight="1">
      <c r="B22" s="131"/>
      <c r="C22" s="131"/>
      <c r="D22" s="131"/>
      <c r="E22" s="136"/>
      <c r="F22" s="135"/>
      <c r="G22" s="134" t="s">
        <v>129</v>
      </c>
      <c r="H22" s="514">
        <f t="shared" si="0"/>
        <v>0</v>
      </c>
      <c r="I22" s="515"/>
      <c r="L22" s="46">
        <f>'Job Proforma'!C20</f>
        <v>0</v>
      </c>
      <c r="M22" s="46">
        <f>'Job Proforma'!D20</f>
        <v>0</v>
      </c>
      <c r="N22" s="46">
        <f>'Job Proforma'!E20</f>
        <v>0</v>
      </c>
      <c r="O22" s="46">
        <f>'Job Proforma'!F20</f>
        <v>0</v>
      </c>
      <c r="P22" s="520" t="e">
        <f>'Job Proforma'!G20:H20</f>
        <v>#VALUE!</v>
      </c>
      <c r="Q22" s="521"/>
      <c r="R22" s="40" t="e">
        <f>'Job Proforma'!I20</f>
        <v>#DIV/0!</v>
      </c>
      <c r="S22" s="40">
        <f>'Job Proforma'!J20</f>
        <v>0</v>
      </c>
      <c r="T22" s="40" t="e">
        <f>'Job Proforma'!K20</f>
        <v>#DIV/0!</v>
      </c>
    </row>
    <row r="23" spans="2:20" ht="21.75" customHeight="1">
      <c r="B23" s="131"/>
      <c r="C23" s="131"/>
      <c r="D23" s="131"/>
      <c r="E23" s="136"/>
      <c r="F23" s="135"/>
      <c r="G23" s="134" t="s">
        <v>129</v>
      </c>
      <c r="H23" s="514">
        <f t="shared" si="0"/>
        <v>0</v>
      </c>
      <c r="I23" s="515"/>
      <c r="L23" s="46">
        <f>'Job Proforma'!C21</f>
        <v>0</v>
      </c>
      <c r="M23" s="46">
        <f>'Job Proforma'!D21</f>
        <v>0</v>
      </c>
      <c r="N23" s="46">
        <f>'Job Proforma'!E21</f>
        <v>0</v>
      </c>
      <c r="O23" s="46">
        <f>'Job Proforma'!F21</f>
        <v>0</v>
      </c>
      <c r="P23" s="520" t="e">
        <f>'Job Proforma'!G21:H21</f>
        <v>#VALUE!</v>
      </c>
      <c r="Q23" s="521"/>
      <c r="R23" s="40" t="e">
        <f>'Job Proforma'!I21</f>
        <v>#DIV/0!</v>
      </c>
      <c r="S23" s="40">
        <f>'Job Proforma'!J21</f>
        <v>0</v>
      </c>
      <c r="T23" s="40" t="e">
        <f>'Job Proforma'!K21</f>
        <v>#DIV/0!</v>
      </c>
    </row>
    <row r="24" spans="2:20" ht="21.75" customHeight="1">
      <c r="B24" s="131"/>
      <c r="C24" s="131"/>
      <c r="D24" s="131"/>
      <c r="E24" s="136"/>
      <c r="F24" s="135"/>
      <c r="G24" s="134" t="s">
        <v>129</v>
      </c>
      <c r="H24" s="514">
        <f t="shared" si="0"/>
        <v>0</v>
      </c>
      <c r="I24" s="515"/>
      <c r="L24" s="46">
        <f>'Job Proforma'!C22</f>
        <v>0</v>
      </c>
      <c r="M24" s="46">
        <f>'Job Proforma'!D22</f>
        <v>0</v>
      </c>
      <c r="N24" s="46">
        <f>'Job Proforma'!E22</f>
        <v>0</v>
      </c>
      <c r="O24" s="46">
        <f>'Job Proforma'!F22</f>
        <v>0</v>
      </c>
      <c r="P24" s="520" t="e">
        <f>'Job Proforma'!G22:H22</f>
        <v>#VALUE!</v>
      </c>
      <c r="Q24" s="521"/>
      <c r="R24" s="40" t="e">
        <f>'Job Proforma'!I22</f>
        <v>#DIV/0!</v>
      </c>
      <c r="S24" s="40">
        <f>'Job Proforma'!J22</f>
        <v>0</v>
      </c>
      <c r="T24" s="40" t="e">
        <f>'Job Proforma'!K22</f>
        <v>#DIV/0!</v>
      </c>
    </row>
    <row r="25" spans="2:20" ht="21.75" customHeight="1">
      <c r="B25" s="131"/>
      <c r="C25" s="131"/>
      <c r="D25" s="131"/>
      <c r="E25" s="136"/>
      <c r="F25" s="135"/>
      <c r="G25" s="134" t="s">
        <v>129</v>
      </c>
      <c r="H25" s="565">
        <f t="shared" si="0"/>
        <v>0</v>
      </c>
      <c r="I25" s="566"/>
      <c r="L25" s="46">
        <f>'Job Proforma'!C23</f>
        <v>0</v>
      </c>
      <c r="M25" s="46">
        <f>'Job Proforma'!D23</f>
        <v>0</v>
      </c>
      <c r="N25" s="46">
        <f>'Job Proforma'!E23</f>
        <v>0</v>
      </c>
      <c r="O25" s="46">
        <f>'Job Proforma'!F23</f>
        <v>0</v>
      </c>
      <c r="P25" s="520" t="e">
        <f>'Job Proforma'!G23:H23</f>
        <v>#VALUE!</v>
      </c>
      <c r="Q25" s="521"/>
      <c r="R25" s="40" t="e">
        <f>'Job Proforma'!I23</f>
        <v>#DIV/0!</v>
      </c>
      <c r="S25" s="40">
        <f>'Job Proforma'!J23</f>
        <v>0</v>
      </c>
      <c r="T25" s="40" t="e">
        <f>'Job Proforma'!K23</f>
        <v>#DIV/0!</v>
      </c>
    </row>
    <row r="26" spans="2:20" ht="18.75" customHeight="1">
      <c r="B26" s="131"/>
      <c r="C26" s="133" t="s">
        <v>20</v>
      </c>
      <c r="D26" s="131"/>
      <c r="E26" s="131"/>
      <c r="F26" s="131"/>
      <c r="G26" s="113"/>
      <c r="H26" s="518">
        <f>SUM(H17:I25)</f>
        <v>0</v>
      </c>
      <c r="I26" s="519"/>
      <c r="L26" s="46">
        <f>'Job Proforma'!C24</f>
        <v>0</v>
      </c>
      <c r="M26" s="46">
        <f>'Job Proforma'!D24</f>
        <v>0</v>
      </c>
      <c r="N26" s="46">
        <f>'Job Proforma'!E24</f>
        <v>0</v>
      </c>
      <c r="O26" s="46">
        <f>'Job Proforma'!F24</f>
        <v>0</v>
      </c>
      <c r="P26" s="520" t="e">
        <f>'Job Proforma'!G24:H24</f>
        <v>#VALUE!</v>
      </c>
      <c r="Q26" s="521"/>
      <c r="R26" s="40" t="e">
        <f>'Job Proforma'!I24</f>
        <v>#DIV/0!</v>
      </c>
      <c r="S26" s="40">
        <f>'Job Proforma'!J24</f>
        <v>0</v>
      </c>
      <c r="T26" s="40" t="e">
        <f>'Job Proforma'!K24</f>
        <v>#DIV/0!</v>
      </c>
    </row>
    <row r="27" spans="2:20" ht="20.25" customHeight="1">
      <c r="B27" s="131"/>
      <c r="C27" s="132" t="s">
        <v>250</v>
      </c>
      <c r="D27" s="131"/>
      <c r="E27" s="131"/>
      <c r="F27" s="131"/>
      <c r="G27" s="131"/>
      <c r="H27" s="514">
        <f>H26*E35</f>
        <v>0</v>
      </c>
      <c r="I27" s="515"/>
      <c r="L27" s="46">
        <f>'Job Proforma'!C25</f>
        <v>0</v>
      </c>
      <c r="M27" s="46">
        <f>'Job Proforma'!D25</f>
        <v>0</v>
      </c>
      <c r="N27" s="46">
        <f>'Job Proforma'!E25</f>
        <v>0</v>
      </c>
      <c r="O27" s="46">
        <f>'Job Proforma'!F25</f>
        <v>0</v>
      </c>
      <c r="P27" s="520" t="e">
        <f>'Job Proforma'!G25:H25</f>
        <v>#VALUE!</v>
      </c>
      <c r="Q27" s="521"/>
      <c r="R27" s="40" t="e">
        <f>'Job Proforma'!I25</f>
        <v>#DIV/0!</v>
      </c>
      <c r="S27" s="40">
        <f>'Job Proforma'!J25</f>
        <v>0</v>
      </c>
      <c r="T27" s="40" t="e">
        <f>'Job Proforma'!K25</f>
        <v>#DIV/0!</v>
      </c>
    </row>
    <row r="28" spans="2:20" ht="16.5" customHeight="1">
      <c r="B28" s="131"/>
      <c r="C28" s="132" t="s">
        <v>251</v>
      </c>
      <c r="D28" s="131"/>
      <c r="E28" s="131"/>
      <c r="F28" s="131"/>
      <c r="G28" s="131"/>
      <c r="H28" s="563">
        <f>H26*G35</f>
        <v>0</v>
      </c>
      <c r="I28" s="564"/>
      <c r="L28" s="46">
        <f>'Job Proforma'!C26</f>
        <v>0</v>
      </c>
      <c r="M28" s="46">
        <f>'Job Proforma'!D26</f>
        <v>0</v>
      </c>
      <c r="N28" s="46">
        <f>'Job Proforma'!E26</f>
        <v>0</v>
      </c>
      <c r="O28" s="46">
        <f>'Job Proforma'!F26</f>
        <v>0</v>
      </c>
      <c r="P28" s="520" t="e">
        <f>'Job Proforma'!G26:H26</f>
        <v>#VALUE!</v>
      </c>
      <c r="Q28" s="521"/>
      <c r="R28" s="40" t="e">
        <f>'Job Proforma'!I26</f>
        <v>#DIV/0!</v>
      </c>
      <c r="S28" s="40">
        <f>'Job Proforma'!J26</f>
        <v>0</v>
      </c>
      <c r="T28" s="40" t="e">
        <f>'Job Proforma'!K26</f>
        <v>#DIV/0!</v>
      </c>
    </row>
    <row r="29" spans="2:20" ht="19.5" customHeight="1">
      <c r="B29" s="131"/>
      <c r="C29" s="132" t="s">
        <v>128</v>
      </c>
      <c r="D29" s="131"/>
      <c r="E29" s="131"/>
      <c r="F29" s="131"/>
      <c r="G29" s="131"/>
      <c r="H29" s="563">
        <f>H30-(SUM(H26:H28))</f>
        <v>0</v>
      </c>
      <c r="I29" s="564"/>
      <c r="L29" s="46">
        <f>'Job Proforma'!C27</f>
        <v>0</v>
      </c>
      <c r="M29" s="46">
        <f>'Job Proforma'!D27</f>
        <v>0</v>
      </c>
      <c r="N29" s="46">
        <f>'Job Proforma'!E27</f>
        <v>0</v>
      </c>
      <c r="O29" s="46">
        <f>'Job Proforma'!F27</f>
        <v>0</v>
      </c>
      <c r="P29" s="520" t="e">
        <f>'Job Proforma'!G27:H27</f>
        <v>#VALUE!</v>
      </c>
      <c r="Q29" s="521"/>
      <c r="R29" s="40" t="e">
        <f>'Job Proforma'!I27</f>
        <v>#DIV/0!</v>
      </c>
      <c r="S29" s="40">
        <f>'Job Proforma'!J27</f>
        <v>0</v>
      </c>
      <c r="T29" s="40" t="e">
        <f>'Job Proforma'!K27</f>
        <v>#DIV/0!</v>
      </c>
    </row>
    <row r="30" spans="2:20" ht="16.5" customHeight="1">
      <c r="B30" s="129"/>
      <c r="C30" s="130" t="s">
        <v>77</v>
      </c>
      <c r="D30" s="129"/>
      <c r="E30" s="122">
        <f>SUM(E17:E25)</f>
        <v>0</v>
      </c>
      <c r="F30" s="122">
        <f>F17+F26</f>
        <v>0</v>
      </c>
      <c r="G30" s="128" t="str">
        <f>G17</f>
        <v>Nos</v>
      </c>
      <c r="H30" s="526">
        <f>ROUND(SUM(H26+H27+H28),0)</f>
        <v>0</v>
      </c>
      <c r="I30" s="527"/>
      <c r="L30" s="46">
        <f>'Job Proforma'!C29</f>
        <v>0</v>
      </c>
      <c r="M30" s="46">
        <f>'Job Proforma'!D29</f>
        <v>0</v>
      </c>
      <c r="N30" s="46">
        <f>'Job Proforma'!E29</f>
        <v>0</v>
      </c>
      <c r="O30" s="46">
        <f>'Job Proforma'!F29</f>
        <v>0</v>
      </c>
      <c r="P30" s="520" t="e">
        <f>'Job Proforma'!G29:H29</f>
        <v>#VALUE!</v>
      </c>
      <c r="Q30" s="521"/>
      <c r="R30" s="40" t="e">
        <f>'Job Proforma'!I29</f>
        <v>#DIV/0!</v>
      </c>
      <c r="S30" s="40">
        <f>'Job Proforma'!J29</f>
        <v>0</v>
      </c>
      <c r="T30" s="40" t="e">
        <f>'Job Proforma'!K29</f>
        <v>#DIV/0!</v>
      </c>
    </row>
    <row r="31" spans="2:20" ht="16.5" customHeight="1">
      <c r="B31" s="127" t="s">
        <v>127</v>
      </c>
      <c r="C31" s="126" t="e">
        <f ca="1">PROPER(spellnumber(H30))</f>
        <v>#NAME?</v>
      </c>
      <c r="D31" s="126"/>
      <c r="E31" s="126"/>
      <c r="F31" s="126"/>
      <c r="G31" s="126"/>
      <c r="H31" s="126"/>
      <c r="I31" s="125" t="s">
        <v>126</v>
      </c>
      <c r="L31" s="46">
        <f>'Job Proforma'!C31</f>
        <v>0</v>
      </c>
      <c r="M31" s="46">
        <f>'Job Proforma'!D31</f>
        <v>0</v>
      </c>
      <c r="N31" s="46">
        <f>'Job Proforma'!E31</f>
        <v>0</v>
      </c>
      <c r="O31" s="46">
        <f>'Job Proforma'!F31</f>
        <v>0</v>
      </c>
      <c r="P31" s="520" t="e">
        <f>'Job Proforma'!G31:H31</f>
        <v>#VALUE!</v>
      </c>
      <c r="Q31" s="521"/>
      <c r="R31" s="40" t="e">
        <f>'Job Proforma'!I31</f>
        <v>#DIV/0!</v>
      </c>
      <c r="S31" s="40">
        <f>'Job Proforma'!J31</f>
        <v>0</v>
      </c>
      <c r="T31" s="40" t="e">
        <f>'Job Proforma'!K31</f>
        <v>#DIV/0!</v>
      </c>
    </row>
    <row r="32" spans="2:20" ht="20.25" customHeight="1">
      <c r="B32" s="544" t="s">
        <v>125</v>
      </c>
      <c r="C32" s="545"/>
      <c r="D32" s="546"/>
      <c r="E32" s="546"/>
      <c r="F32" s="546"/>
      <c r="G32" s="546"/>
      <c r="H32" s="546"/>
      <c r="I32" s="547"/>
    </row>
    <row r="33" spans="2:9" ht="15" customHeight="1">
      <c r="B33" s="537" t="s">
        <v>124</v>
      </c>
      <c r="C33" s="538"/>
      <c r="D33" s="541" t="s">
        <v>123</v>
      </c>
      <c r="E33" s="542" t="s">
        <v>122</v>
      </c>
      <c r="F33" s="542"/>
      <c r="G33" s="542" t="s">
        <v>121</v>
      </c>
      <c r="H33" s="542"/>
      <c r="I33" s="124" t="s">
        <v>120</v>
      </c>
    </row>
    <row r="34" spans="2:9" ht="18.75" customHeight="1">
      <c r="B34" s="539"/>
      <c r="C34" s="540"/>
      <c r="D34" s="541"/>
      <c r="E34" s="124" t="s">
        <v>119</v>
      </c>
      <c r="F34" s="124" t="s">
        <v>118</v>
      </c>
      <c r="G34" s="124" t="s">
        <v>119</v>
      </c>
      <c r="H34" s="124" t="s">
        <v>118</v>
      </c>
      <c r="I34" s="124" t="s">
        <v>117</v>
      </c>
    </row>
    <row r="35" spans="2:9" ht="21.75" customHeight="1">
      <c r="B35" s="543">
        <f>D17</f>
        <v>0</v>
      </c>
      <c r="C35" s="543"/>
      <c r="D35" s="122">
        <f>H26</f>
        <v>0</v>
      </c>
      <c r="E35" s="123">
        <v>0.09</v>
      </c>
      <c r="F35" s="122">
        <f>H27</f>
        <v>0</v>
      </c>
      <c r="G35" s="123">
        <v>0.09</v>
      </c>
      <c r="H35" s="122">
        <f>H28</f>
        <v>0</v>
      </c>
      <c r="I35" s="122">
        <f>F35+H35</f>
        <v>0</v>
      </c>
    </row>
    <row r="36" spans="2:9" ht="18" customHeight="1">
      <c r="B36" s="525" t="s">
        <v>77</v>
      </c>
      <c r="C36" s="525"/>
      <c r="D36" s="120">
        <f>D35</f>
        <v>0</v>
      </c>
      <c r="E36" s="121"/>
      <c r="F36" s="120">
        <f>F35</f>
        <v>0</v>
      </c>
      <c r="G36" s="121"/>
      <c r="H36" s="120">
        <f>H35</f>
        <v>0</v>
      </c>
      <c r="I36" s="120">
        <f>I35</f>
        <v>0</v>
      </c>
    </row>
    <row r="37" spans="2:9" ht="25.5" customHeight="1">
      <c r="B37" s="119"/>
      <c r="C37" s="118"/>
      <c r="D37" s="118"/>
      <c r="E37" s="118"/>
      <c r="F37" s="118"/>
      <c r="G37" s="118"/>
      <c r="H37" s="118"/>
      <c r="I37" s="117"/>
    </row>
    <row r="38" spans="2:9">
      <c r="B38" s="113"/>
      <c r="E38" s="149" t="s">
        <v>116</v>
      </c>
      <c r="F38" s="149"/>
      <c r="I38" s="116"/>
    </row>
    <row r="39" spans="2:9">
      <c r="B39" s="113"/>
      <c r="E39" t="s">
        <v>115</v>
      </c>
      <c r="I39" s="116"/>
    </row>
    <row r="40" spans="2:9" ht="19.5" customHeight="1">
      <c r="B40" s="113" t="s">
        <v>114</v>
      </c>
      <c r="E40" t="s">
        <v>164</v>
      </c>
      <c r="I40" s="116"/>
    </row>
    <row r="41" spans="2:9">
      <c r="B41" s="148" t="s">
        <v>113</v>
      </c>
      <c r="C41" s="115"/>
      <c r="D41" s="115"/>
      <c r="E41" s="115" t="s">
        <v>112</v>
      </c>
      <c r="F41" s="115"/>
      <c r="G41" s="115"/>
      <c r="H41" s="115"/>
      <c r="I41" s="114"/>
    </row>
    <row r="42" spans="2:9" ht="18" customHeight="1">
      <c r="B42" s="113" t="s">
        <v>111</v>
      </c>
      <c r="E42" s="534" t="s">
        <v>110</v>
      </c>
      <c r="F42" s="535"/>
      <c r="G42" s="535"/>
      <c r="H42" s="535"/>
      <c r="I42" s="536"/>
    </row>
    <row r="43" spans="2:9" ht="21.75" customHeight="1">
      <c r="B43" s="112" t="s">
        <v>109</v>
      </c>
      <c r="C43" s="111"/>
      <c r="D43" s="19"/>
      <c r="E43" s="528"/>
      <c r="F43" s="529"/>
      <c r="G43" s="529"/>
      <c r="H43" s="529"/>
      <c r="I43" s="530"/>
    </row>
    <row r="44" spans="2:9" ht="14.25" customHeight="1">
      <c r="B44" s="110"/>
      <c r="C44" s="109"/>
      <c r="D44" s="109"/>
      <c r="E44" s="531" t="s">
        <v>74</v>
      </c>
      <c r="F44" s="532"/>
      <c r="G44" s="532"/>
      <c r="H44" s="532"/>
      <c r="I44" s="533"/>
    </row>
    <row r="45" spans="2:9" ht="13.5" customHeight="1">
      <c r="B45" s="524" t="s">
        <v>108</v>
      </c>
      <c r="C45" s="524"/>
      <c r="D45" s="524"/>
      <c r="E45" s="524"/>
      <c r="F45" s="524"/>
      <c r="G45" s="524"/>
      <c r="H45" s="524"/>
      <c r="I45" s="524"/>
    </row>
  </sheetData>
  <mergeCells count="81">
    <mergeCell ref="B1:I1"/>
    <mergeCell ref="B3:D3"/>
    <mergeCell ref="E3:F3"/>
    <mergeCell ref="G3:I3"/>
    <mergeCell ref="B4:D4"/>
    <mergeCell ref="E4:F4"/>
    <mergeCell ref="G4:I4"/>
    <mergeCell ref="B7:D7"/>
    <mergeCell ref="B5:D5"/>
    <mergeCell ref="E5:F5"/>
    <mergeCell ref="G5:I5"/>
    <mergeCell ref="B6:D6"/>
    <mergeCell ref="E6:F6"/>
    <mergeCell ref="G6:I6"/>
    <mergeCell ref="G7:I7"/>
    <mergeCell ref="B8:D8"/>
    <mergeCell ref="E8:F8"/>
    <mergeCell ref="G8:I8"/>
    <mergeCell ref="B10:D10"/>
    <mergeCell ref="E10:F10"/>
    <mergeCell ref="G10:I10"/>
    <mergeCell ref="B9:D9"/>
    <mergeCell ref="E9:F9"/>
    <mergeCell ref="G9:I9"/>
    <mergeCell ref="B11:D11"/>
    <mergeCell ref="E11:F11"/>
    <mergeCell ref="G11:I11"/>
    <mergeCell ref="B12:D12"/>
    <mergeCell ref="E12:F12"/>
    <mergeCell ref="G12:I12"/>
    <mergeCell ref="H29:I29"/>
    <mergeCell ref="H26:I26"/>
    <mergeCell ref="H24:I24"/>
    <mergeCell ref="H25:I25"/>
    <mergeCell ref="H27:I27"/>
    <mergeCell ref="H28:I28"/>
    <mergeCell ref="P25:Q25"/>
    <mergeCell ref="P26:Q26"/>
    <mergeCell ref="P27:Q27"/>
    <mergeCell ref="P28:Q28"/>
    <mergeCell ref="P18:Q18"/>
    <mergeCell ref="B13:D13"/>
    <mergeCell ref="E13:F13"/>
    <mergeCell ref="G13:I13"/>
    <mergeCell ref="P22:Q22"/>
    <mergeCell ref="P23:Q23"/>
    <mergeCell ref="B14:D14"/>
    <mergeCell ref="E14:F14"/>
    <mergeCell ref="G14:I14"/>
    <mergeCell ref="B15:D15"/>
    <mergeCell ref="E15:I15"/>
    <mergeCell ref="H22:I22"/>
    <mergeCell ref="H23:I23"/>
    <mergeCell ref="P30:Q30"/>
    <mergeCell ref="P29:Q29"/>
    <mergeCell ref="P24:Q24"/>
    <mergeCell ref="B45:I45"/>
    <mergeCell ref="B36:C36"/>
    <mergeCell ref="H30:I30"/>
    <mergeCell ref="E43:I43"/>
    <mergeCell ref="E44:I44"/>
    <mergeCell ref="E42:I42"/>
    <mergeCell ref="B33:C34"/>
    <mergeCell ref="D33:D34"/>
    <mergeCell ref="E33:F33"/>
    <mergeCell ref="G33:H33"/>
    <mergeCell ref="B35:C35"/>
    <mergeCell ref="B32:I32"/>
    <mergeCell ref="P31:Q31"/>
    <mergeCell ref="L3:Q3"/>
    <mergeCell ref="H21:I21"/>
    <mergeCell ref="H20:I20"/>
    <mergeCell ref="H16:I16"/>
    <mergeCell ref="H17:I17"/>
    <mergeCell ref="H18:I18"/>
    <mergeCell ref="P21:Q21"/>
    <mergeCell ref="H19:I19"/>
    <mergeCell ref="P16:Q16"/>
    <mergeCell ref="P17:Q17"/>
    <mergeCell ref="P19:Q19"/>
    <mergeCell ref="P20:Q20"/>
  </mergeCells>
  <pageMargins left="0.59055118110236227" right="0.19685039370078741" top="0.31496062992125984" bottom="0.19685039370078741" header="0" footer="0.19685039370078741"/>
  <pageSetup scale="8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Qtn_RMT_table2</vt:lpstr>
      <vt:lpstr>Qtn_table1</vt:lpstr>
      <vt:lpstr>WORK OUT</vt:lpstr>
      <vt:lpstr>HR       </vt:lpstr>
      <vt:lpstr>Fallow up</vt:lpstr>
      <vt:lpstr>Job Proforma</vt:lpstr>
      <vt:lpstr>R.mt Proforma</vt:lpstr>
      <vt:lpstr>Tally format Bill</vt:lpstr>
      <vt:lpstr>df</vt:lpstr>
      <vt:lpstr>Edge_Quality_KMT</vt:lpstr>
      <vt:lpstr>KMT_Material_selected</vt:lpstr>
      <vt:lpstr>'WORK OUT'!KMT_Materl_selectd</vt:lpstr>
      <vt:lpstr>KMT_Materl_selected</vt:lpstr>
      <vt:lpstr>'WORK OUT'!KMT_matr_selection</vt:lpstr>
      <vt:lpstr>'WORK OUT'!KMT_matrl_selection</vt:lpstr>
      <vt:lpstr>Qtn_table1!OLE_LINK1</vt:lpstr>
      <vt:lpstr>Qtn_RMT_table2!OLE_LINK2</vt:lpstr>
      <vt:lpstr>Qtn_table1!OLE_LINK2</vt:lpstr>
      <vt:lpstr>'Job Proforma'!Print_Area</vt:lpstr>
      <vt:lpstr>Qtn_RMT_table2!Print_Area</vt:lpstr>
      <vt:lpstr>Qtn_table1!Print_Area</vt:lpstr>
      <vt:lpstr>'R.mt Proforma'!Print_Area</vt:lpstr>
      <vt:lpstr>'Tally format Bill'!Print_Area</vt:lpstr>
      <vt:lpstr>'Job Proforma'!Print_Titles</vt:lpstr>
      <vt:lpstr>Qtn_RMT_table2!Print_Titles</vt:lpstr>
      <vt:lpstr>Qtn_table1!Print_Titles</vt:lpstr>
      <vt:lpstr>'R.mt Proforma'!Print_Titles</vt:lpstr>
      <vt:lpstr>'Tally format Bill'!Print_Titles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2010-01-27T11:20:25Z</cp:lastPrinted>
  <dcterms:created xsi:type="dcterms:W3CDTF">2006-09-16T00:00:00Z</dcterms:created>
  <dcterms:modified xsi:type="dcterms:W3CDTF">2026-05-29T04:37:56Z</dcterms:modified>
</cp:coreProperties>
</file>